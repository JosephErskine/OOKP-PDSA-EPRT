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raham\BSMS\Year 4\404 - IRP\Template drafts\"/>
    </mc:Choice>
  </mc:AlternateContent>
  <bookViews>
    <workbookView xWindow="0" yWindow="0" windowWidth="28800" windowHeight="11835"/>
  </bookViews>
  <sheets>
    <sheet name="Template" sheetId="8" r:id="rId1"/>
    <sheet name="Vars" sheetId="6" r:id="rId2"/>
    <sheet name="Images" sheetId="9" r:id="rId3"/>
  </sheets>
  <definedNames>
    <definedName name="_xlnm._FilterDatabase" localSheetId="0" hidden="1">Template!$A$11:$F$17</definedName>
    <definedName name="Blind">Images!$A$3</definedName>
    <definedName name="Blind\absent">Images!$A$3</definedName>
    <definedName name="DrawingL">INDIRECT(Template!$M$38)</definedName>
    <definedName name="DrawingR">INDIRECT(Template!$J$38)</definedName>
    <definedName name="Non_OOKP">Images!$A$2</definedName>
    <definedName name="OOKP">Images!$A$1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6" l="1"/>
  <c r="O3" i="6"/>
  <c r="I6" i="8" l="1"/>
  <c r="B14" i="6"/>
  <c r="B15" i="6"/>
</calcChain>
</file>

<file path=xl/sharedStrings.xml><?xml version="1.0" encoding="utf-8"?>
<sst xmlns="http://schemas.openxmlformats.org/spreadsheetml/2006/main" count="121" uniqueCount="96">
  <si>
    <t>Visual acuity</t>
  </si>
  <si>
    <t>NA</t>
  </si>
  <si>
    <t>Diamox</t>
  </si>
  <si>
    <t>Ciclosporin</t>
  </si>
  <si>
    <t>Refraction</t>
  </si>
  <si>
    <t>Intra-ocular pressure</t>
  </si>
  <si>
    <t>Additional comments:</t>
  </si>
  <si>
    <t>Digital palpation</t>
  </si>
  <si>
    <t>Buccal mucous membrane</t>
  </si>
  <si>
    <t>Optical cylinder</t>
  </si>
  <si>
    <t>Medications</t>
  </si>
  <si>
    <t>Ciprofloxacin</t>
  </si>
  <si>
    <t>Route</t>
  </si>
  <si>
    <t>Frequency</t>
  </si>
  <si>
    <t>medium: 1.45mm-1.9mm</t>
  </si>
  <si>
    <t xml:space="preserve">Allergies: </t>
  </si>
  <si>
    <t>Macula</t>
  </si>
  <si>
    <t>Screening questions</t>
  </si>
  <si>
    <t>Flashing lights</t>
  </si>
  <si>
    <t>Floaters</t>
  </si>
  <si>
    <t>Grey shadows</t>
  </si>
  <si>
    <t>Pain</t>
  </si>
  <si>
    <t>Imaging</t>
  </si>
  <si>
    <t>OOKP</t>
  </si>
  <si>
    <t>Normal</t>
  </si>
  <si>
    <t>Present</t>
  </si>
  <si>
    <t>Mild</t>
  </si>
  <si>
    <t>Moderate</t>
  </si>
  <si>
    <t>Severe</t>
  </si>
  <si>
    <t>Abnormal</t>
  </si>
  <si>
    <t>Intact</t>
  </si>
  <si>
    <t>Compromised</t>
  </si>
  <si>
    <t>Hard</t>
  </si>
  <si>
    <t>small: &lt;1.45mm</t>
  </si>
  <si>
    <t>large: &gt;1.9mm</t>
  </si>
  <si>
    <t>Non-OOKP</t>
  </si>
  <si>
    <t>High-normal</t>
  </si>
  <si>
    <t>Both zones</t>
  </si>
  <si>
    <t>Beta-zone</t>
  </si>
  <si>
    <t>Alpha-zone</t>
  </si>
  <si>
    <t>.</t>
  </si>
  <si>
    <t>DO NOT EDIT</t>
  </si>
  <si>
    <t>L eye</t>
  </si>
  <si>
    <t>R eye</t>
  </si>
  <si>
    <t>Eye status</t>
  </si>
  <si>
    <t>Aided</t>
  </si>
  <si>
    <t>Unaided</t>
  </si>
  <si>
    <t>NPL</t>
  </si>
  <si>
    <t>PL</t>
  </si>
  <si>
    <t>HM</t>
  </si>
  <si>
    <t>6/60</t>
  </si>
  <si>
    <t>6/36</t>
  </si>
  <si>
    <t>6/4</t>
  </si>
  <si>
    <t>CF</t>
  </si>
  <si>
    <t>6/12</t>
  </si>
  <si>
    <t>6/6</t>
  </si>
  <si>
    <t>6/18</t>
  </si>
  <si>
    <t>6/9</t>
  </si>
  <si>
    <t>6/24</t>
  </si>
  <si>
    <t>Change in glasses</t>
  </si>
  <si>
    <t>Unaided with pinhole</t>
  </si>
  <si>
    <t>Aided with pinhole</t>
  </si>
  <si>
    <t>Vision correction required?</t>
  </si>
  <si>
    <t>Comments:</t>
  </si>
  <si>
    <t>Timolol</t>
  </si>
  <si>
    <t>Change in sight</t>
  </si>
  <si>
    <t>Retropulsion present</t>
  </si>
  <si>
    <t>Soft</t>
  </si>
  <si>
    <t>Firm</t>
  </si>
  <si>
    <t>Rectangular</t>
  </si>
  <si>
    <t>Notches present</t>
  </si>
  <si>
    <t>Heading: OOKP outpatients follow up clinic</t>
  </si>
  <si>
    <t xml:space="preserve">Plan: </t>
  </si>
  <si>
    <t xml:space="preserve">History: </t>
  </si>
  <si>
    <t xml:space="preserve">DOB: </t>
  </si>
  <si>
    <t xml:space="preserve">Hospital no.: </t>
  </si>
  <si>
    <t xml:space="preserve">Date: </t>
  </si>
  <si>
    <t xml:space="preserve">Name: </t>
  </si>
  <si>
    <t>Absent</t>
  </si>
  <si>
    <t>Retropulsion absent</t>
  </si>
  <si>
    <t>Diagram</t>
  </si>
  <si>
    <t>Blind/absent</t>
  </si>
  <si>
    <t>Non_OOKP</t>
  </si>
  <si>
    <t>Blind</t>
  </si>
  <si>
    <t>All absent?</t>
  </si>
  <si>
    <t>Vertical cup disk ratio</t>
  </si>
  <si>
    <t>Lamina</t>
  </si>
  <si>
    <t>Instructions</t>
  </si>
  <si>
    <t>Dose/formulation</t>
  </si>
  <si>
    <r>
      <t>Additional notes:</t>
    </r>
    <r>
      <rPr>
        <sz val="12"/>
        <color theme="1"/>
        <rFont val="Arial"/>
        <family val="2"/>
      </rPr>
      <t xml:space="preserve"> </t>
    </r>
  </si>
  <si>
    <t xml:space="preserve">Cholamphenicol </t>
  </si>
  <si>
    <t xml:space="preserve">Summary &amp; current issues: </t>
  </si>
  <si>
    <t>Examination summary: 
(do not change)</t>
  </si>
  <si>
    <t xml:space="preserve">Reviewed by: </t>
  </si>
  <si>
    <t>6/5</t>
  </si>
  <si>
    <t>Optic disc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</si>
</sst>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2"/>
      <color rgb="FF006100"/>
      <name val="Arial"/>
      <family val="2"/>
    </font>
    <font>
      <b/>
      <sz val="12"/>
      <color theme="1"/>
      <name val="Arial"/>
      <family val="2"/>
    </font>
    <font>
      <sz val="12"/>
      <color rgb="FF006100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rgb="FF006100"/>
      <name val="Calibri"/>
      <family val="2"/>
      <scheme val="minor"/>
    </font>
    <font>
      <b/>
      <sz val="11"/>
      <color rgb="FF006100"/>
      <name val="Arial"/>
      <family val="2"/>
    </font>
    <font>
      <sz val="10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FFCC"/>
      </patternFill>
    </fill>
  </fills>
  <borders count="18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13" applyNumberFormat="0" applyFont="0" applyAlignment="0" applyProtection="0"/>
    <xf numFmtId="0" fontId="7" fillId="0" borderId="16" applyNumberFormat="0" applyFill="0" applyAlignment="0" applyProtection="0"/>
  </cellStyleXfs>
  <cellXfs count="153">
    <xf numFmtId="0" fontId="0" fillId="0" borderId="0" xfId="0"/>
    <xf numFmtId="0" fontId="3" fillId="0" borderId="0" xfId="0" applyFont="1"/>
    <xf numFmtId="0" fontId="3" fillId="0" borderId="0" xfId="0" applyFont="1" applyBorder="1" applyAlignment="1">
      <alignment vertical="center"/>
    </xf>
    <xf numFmtId="0" fontId="3" fillId="3" borderId="10" xfId="2" applyFont="1" applyBorder="1" applyAlignment="1">
      <alignment horizontal="center"/>
    </xf>
    <xf numFmtId="0" fontId="3" fillId="0" borderId="0" xfId="0" applyFont="1" applyFill="1" applyBorder="1" applyAlignment="1">
      <alignment vertical="center"/>
    </xf>
    <xf numFmtId="0" fontId="5" fillId="0" borderId="0" xfId="0" applyFont="1"/>
    <xf numFmtId="0" fontId="3" fillId="0" borderId="0" xfId="0" applyFont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0" xfId="0" applyFont="1" applyFill="1" applyBorder="1" applyAlignment="1">
      <alignment horizontal="left" vertical="center"/>
    </xf>
    <xf numFmtId="0" fontId="3" fillId="0" borderId="14" xfId="0" applyFont="1" applyFill="1" applyBorder="1" applyAlignment="1">
      <alignment horizontal="left" vertical="center"/>
    </xf>
    <xf numFmtId="0" fontId="5" fillId="0" borderId="0" xfId="0" applyFont="1" applyAlignment="1"/>
    <xf numFmtId="0" fontId="0" fillId="0" borderId="0" xfId="0" applyBorder="1"/>
    <xf numFmtId="0" fontId="6" fillId="0" borderId="0" xfId="0" applyFont="1"/>
    <xf numFmtId="0" fontId="3" fillId="0" borderId="0" xfId="0" applyFont="1" applyBorder="1" applyAlignment="1">
      <alignment horizontal="left" vertical="center"/>
    </xf>
    <xf numFmtId="0" fontId="3" fillId="0" borderId="10" xfId="0" applyFont="1" applyBorder="1"/>
    <xf numFmtId="0" fontId="3" fillId="0" borderId="11" xfId="0" applyFont="1" applyBorder="1"/>
    <xf numFmtId="0" fontId="3" fillId="0" borderId="0" xfId="0" quotePrefix="1" applyNumberFormat="1" applyFont="1"/>
    <xf numFmtId="0" fontId="3" fillId="0" borderId="0" xfId="0" quotePrefix="1" applyFont="1"/>
    <xf numFmtId="16" fontId="3" fillId="0" borderId="0" xfId="0" quotePrefix="1" applyNumberFormat="1" applyFont="1"/>
    <xf numFmtId="0" fontId="3" fillId="0" borderId="11" xfId="0" applyFont="1" applyFill="1" applyBorder="1" applyAlignment="1">
      <alignment horizontal="left" vertical="center"/>
    </xf>
    <xf numFmtId="0" fontId="9" fillId="3" borderId="14" xfId="2" applyFont="1" applyBorder="1"/>
    <xf numFmtId="0" fontId="3" fillId="0" borderId="8" xfId="0" applyFont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vertical="center"/>
    </xf>
    <xf numFmtId="0" fontId="0" fillId="0" borderId="0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/>
    <xf numFmtId="0" fontId="0" fillId="0" borderId="4" xfId="0" applyBorder="1"/>
    <xf numFmtId="0" fontId="0" fillId="0" borderId="5" xfId="0" applyBorder="1"/>
    <xf numFmtId="0" fontId="13" fillId="2" borderId="1" xfId="1" applyFont="1" applyBorder="1" applyAlignment="1">
      <alignment horizontal="center"/>
    </xf>
    <xf numFmtId="0" fontId="4" fillId="0" borderId="9" xfId="0" applyFont="1" applyBorder="1"/>
    <xf numFmtId="0" fontId="3" fillId="0" borderId="11" xfId="0" applyFont="1" applyBorder="1" applyAlignment="1">
      <alignment horizontal="left" vertical="center"/>
    </xf>
    <xf numFmtId="0" fontId="9" fillId="0" borderId="0" xfId="0" applyFont="1" applyBorder="1" applyAlignment="1">
      <alignment vertical="center"/>
    </xf>
    <xf numFmtId="0" fontId="3" fillId="0" borderId="0" xfId="0" applyFont="1" applyBorder="1"/>
    <xf numFmtId="0" fontId="3" fillId="0" borderId="0" xfId="0" applyFont="1" applyBorder="1" applyAlignment="1">
      <alignment vertical="top" wrapText="1"/>
    </xf>
    <xf numFmtId="0" fontId="9" fillId="0" borderId="4" xfId="0" applyFont="1" applyBorder="1" applyAlignment="1">
      <alignment vertical="center"/>
    </xf>
    <xf numFmtId="0" fontId="9" fillId="0" borderId="12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7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9" fillId="3" borderId="2" xfId="2" applyFont="1" applyBorder="1"/>
    <xf numFmtId="0" fontId="3" fillId="3" borderId="4" xfId="2" applyFont="1" applyBorder="1" applyAlignment="1">
      <alignment horizontal="center"/>
    </xf>
    <xf numFmtId="0" fontId="1" fillId="3" borderId="6" xfId="2" applyBorder="1"/>
    <xf numFmtId="0" fontId="9" fillId="3" borderId="2" xfId="2" applyFont="1" applyBorder="1" applyAlignment="1">
      <alignment horizontal="left"/>
    </xf>
    <xf numFmtId="0" fontId="9" fillId="3" borderId="3" xfId="2" applyFont="1" applyBorder="1" applyAlignment="1">
      <alignment horizontal="left"/>
    </xf>
    <xf numFmtId="0" fontId="3" fillId="3" borderId="0" xfId="2" applyFont="1" applyBorder="1" applyAlignment="1">
      <alignment horizontal="center"/>
    </xf>
    <xf numFmtId="0" fontId="1" fillId="3" borderId="9" xfId="2" applyBorder="1"/>
    <xf numFmtId="0" fontId="3" fillId="3" borderId="11" xfId="2" applyFont="1" applyBorder="1" applyAlignment="1">
      <alignment horizontal="center"/>
    </xf>
    <xf numFmtId="0" fontId="8" fillId="2" borderId="17" xfId="1" applyFont="1" applyBorder="1" applyAlignment="1">
      <alignment vertical="top"/>
    </xf>
    <xf numFmtId="0" fontId="9" fillId="3" borderId="17" xfId="2" applyFont="1" applyBorder="1" applyAlignment="1">
      <alignment vertical="top"/>
    </xf>
    <xf numFmtId="16" fontId="0" fillId="0" borderId="0" xfId="0" quotePrefix="1" applyNumberFormat="1"/>
    <xf numFmtId="0" fontId="3" fillId="3" borderId="12" xfId="2" applyFont="1" applyBorder="1" applyAlignment="1">
      <alignment horizontal="center"/>
    </xf>
    <xf numFmtId="0" fontId="3" fillId="3" borderId="17" xfId="2" applyFont="1" applyBorder="1" applyAlignment="1">
      <alignment horizontal="center"/>
    </xf>
    <xf numFmtId="0" fontId="3" fillId="3" borderId="15" xfId="2" applyFont="1" applyBorder="1" applyAlignment="1">
      <alignment horizontal="center"/>
    </xf>
    <xf numFmtId="0" fontId="1" fillId="3" borderId="12" xfId="2" applyBorder="1"/>
    <xf numFmtId="0" fontId="1" fillId="3" borderId="15" xfId="2" applyBorder="1"/>
    <xf numFmtId="0" fontId="11" fillId="3" borderId="17" xfId="2" applyFont="1" applyBorder="1"/>
    <xf numFmtId="0" fontId="12" fillId="3" borderId="17" xfId="2" applyFont="1" applyBorder="1"/>
    <xf numFmtId="0" fontId="9" fillId="4" borderId="14" xfId="3" applyFont="1" applyBorder="1" applyAlignment="1">
      <alignment horizontal="center" vertical="center" wrapText="1"/>
    </xf>
    <xf numFmtId="0" fontId="9" fillId="4" borderId="10" xfId="3" applyFont="1" applyBorder="1" applyAlignment="1">
      <alignment horizontal="center" vertical="center" wrapText="1"/>
    </xf>
    <xf numFmtId="0" fontId="9" fillId="4" borderId="11" xfId="3" applyFont="1" applyBorder="1" applyAlignment="1">
      <alignment horizontal="center" vertical="center" wrapText="1"/>
    </xf>
    <xf numFmtId="0" fontId="9" fillId="4" borderId="2" xfId="3" applyFont="1" applyBorder="1" applyAlignment="1">
      <alignment horizontal="left" vertical="top" wrapText="1"/>
    </xf>
    <xf numFmtId="0" fontId="9" fillId="4" borderId="8" xfId="3" applyFont="1" applyBorder="1" applyAlignment="1">
      <alignment horizontal="left" vertical="top" wrapText="1"/>
    </xf>
    <xf numFmtId="0" fontId="9" fillId="4" borderId="3" xfId="3" applyFont="1" applyBorder="1" applyAlignment="1">
      <alignment horizontal="left" vertical="top" wrapText="1"/>
    </xf>
    <xf numFmtId="0" fontId="9" fillId="4" borderId="4" xfId="3" applyFont="1" applyBorder="1" applyAlignment="1">
      <alignment horizontal="left" vertical="top" wrapText="1"/>
    </xf>
    <xf numFmtId="0" fontId="9" fillId="4" borderId="0" xfId="3" applyFont="1" applyBorder="1" applyAlignment="1">
      <alignment horizontal="left" vertical="top" wrapText="1"/>
    </xf>
    <xf numFmtId="0" fontId="9" fillId="4" borderId="5" xfId="3" applyFont="1" applyBorder="1" applyAlignment="1">
      <alignment horizontal="left" vertical="top" wrapText="1"/>
    </xf>
    <xf numFmtId="0" fontId="9" fillId="4" borderId="6" xfId="3" applyFont="1" applyBorder="1" applyAlignment="1">
      <alignment horizontal="left" vertical="top" wrapText="1"/>
    </xf>
    <xf numFmtId="0" fontId="9" fillId="4" borderId="9" xfId="3" applyFont="1" applyBorder="1" applyAlignment="1">
      <alignment horizontal="left" vertical="top" wrapText="1"/>
    </xf>
    <xf numFmtId="0" fontId="9" fillId="4" borderId="7" xfId="3" applyFont="1" applyBorder="1" applyAlignment="1">
      <alignment horizontal="left" vertical="top" wrapText="1"/>
    </xf>
    <xf numFmtId="0" fontId="3" fillId="0" borderId="2" xfId="0" applyFont="1" applyBorder="1" applyAlignment="1">
      <alignment horizontal="left" vertical="top" wrapText="1"/>
    </xf>
    <xf numFmtId="0" fontId="3" fillId="0" borderId="3" xfId="0" applyFont="1" applyBorder="1" applyAlignment="1">
      <alignment horizontal="left" vertical="top" wrapText="1"/>
    </xf>
    <xf numFmtId="0" fontId="3" fillId="0" borderId="4" xfId="0" applyFont="1" applyBorder="1" applyAlignment="1">
      <alignment horizontal="left" vertical="top" wrapText="1"/>
    </xf>
    <xf numFmtId="0" fontId="3" fillId="0" borderId="5" xfId="0" applyFont="1" applyBorder="1" applyAlignment="1">
      <alignment horizontal="left" vertical="top" wrapText="1"/>
    </xf>
    <xf numFmtId="0" fontId="3" fillId="0" borderId="6" xfId="0" applyFont="1" applyBorder="1" applyAlignment="1">
      <alignment horizontal="left" vertical="top" wrapText="1"/>
    </xf>
    <xf numFmtId="0" fontId="3" fillId="0" borderId="7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14" fontId="3" fillId="3" borderId="12" xfId="2" applyNumberFormat="1" applyFont="1" applyBorder="1" applyAlignment="1">
      <alignment horizontal="left"/>
    </xf>
    <xf numFmtId="14" fontId="3" fillId="3" borderId="1" xfId="2" applyNumberFormat="1" applyFont="1" applyBorder="1" applyAlignment="1">
      <alignment horizontal="left"/>
    </xf>
    <xf numFmtId="14" fontId="3" fillId="3" borderId="6" xfId="2" applyNumberFormat="1" applyFont="1" applyBorder="1" applyAlignment="1">
      <alignment horizontal="left"/>
    </xf>
    <xf numFmtId="14" fontId="3" fillId="3" borderId="7" xfId="2" applyNumberFormat="1" applyFont="1" applyBorder="1" applyAlignment="1">
      <alignment horizontal="left"/>
    </xf>
    <xf numFmtId="0" fontId="9" fillId="0" borderId="14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7" fillId="0" borderId="12" xfId="4" applyBorder="1" applyAlignment="1">
      <alignment horizontal="center"/>
    </xf>
    <xf numFmtId="0" fontId="7" fillId="0" borderId="15" xfId="4" applyBorder="1" applyAlignment="1">
      <alignment horizontal="center"/>
    </xf>
    <xf numFmtId="0" fontId="7" fillId="0" borderId="1" xfId="4" applyBorder="1" applyAlignment="1">
      <alignment horizontal="center"/>
    </xf>
    <xf numFmtId="0" fontId="8" fillId="2" borderId="12" xfId="1" applyFont="1" applyBorder="1" applyAlignment="1">
      <alignment horizontal="left" vertical="center"/>
    </xf>
    <xf numFmtId="0" fontId="8" fillId="2" borderId="1" xfId="1" applyFont="1" applyBorder="1" applyAlignment="1">
      <alignment horizontal="left" vertical="center"/>
    </xf>
    <xf numFmtId="0" fontId="8" fillId="2" borderId="14" xfId="1" applyFont="1" applyBorder="1" applyAlignment="1">
      <alignment horizontal="center" vertical="center"/>
    </xf>
    <xf numFmtId="0" fontId="8" fillId="2" borderId="10" xfId="1" applyFont="1" applyBorder="1" applyAlignment="1">
      <alignment horizontal="center" vertical="center"/>
    </xf>
    <xf numFmtId="0" fontId="8" fillId="2" borderId="11" xfId="1" applyFont="1" applyBorder="1" applyAlignment="1">
      <alignment horizontal="center" vertical="center"/>
    </xf>
    <xf numFmtId="0" fontId="2" fillId="2" borderId="2" xfId="1" applyBorder="1" applyAlignment="1">
      <alignment horizontal="left" vertical="top" wrapText="1"/>
    </xf>
    <xf numFmtId="0" fontId="2" fillId="2" borderId="8" xfId="1" applyBorder="1" applyAlignment="1">
      <alignment horizontal="left" vertical="top" wrapText="1"/>
    </xf>
    <xf numFmtId="0" fontId="2" fillId="2" borderId="3" xfId="1" applyBorder="1" applyAlignment="1">
      <alignment horizontal="left" vertical="top" wrapText="1"/>
    </xf>
    <xf numFmtId="0" fontId="2" fillId="2" borderId="4" xfId="1" applyBorder="1" applyAlignment="1">
      <alignment horizontal="left" vertical="top" wrapText="1"/>
    </xf>
    <xf numFmtId="0" fontId="2" fillId="2" borderId="0" xfId="1" applyBorder="1" applyAlignment="1">
      <alignment horizontal="left" vertical="top" wrapText="1"/>
    </xf>
    <xf numFmtId="0" fontId="2" fillId="2" borderId="5" xfId="1" applyBorder="1" applyAlignment="1">
      <alignment horizontal="left" vertical="top" wrapText="1"/>
    </xf>
    <xf numFmtId="0" fontId="2" fillId="2" borderId="6" xfId="1" applyBorder="1" applyAlignment="1">
      <alignment horizontal="left" vertical="top" wrapText="1"/>
    </xf>
    <xf numFmtId="0" fontId="2" fillId="2" borderId="9" xfId="1" applyBorder="1" applyAlignment="1">
      <alignment horizontal="left" vertical="top" wrapText="1"/>
    </xf>
    <xf numFmtId="0" fontId="2" fillId="2" borderId="7" xfId="1" applyBorder="1" applyAlignment="1">
      <alignment horizontal="left" vertical="top" wrapText="1"/>
    </xf>
    <xf numFmtId="0" fontId="4" fillId="0" borderId="1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8" fillId="2" borderId="14" xfId="1" applyFont="1" applyBorder="1" applyAlignment="1">
      <alignment horizontal="center" vertical="center" wrapText="1"/>
    </xf>
    <xf numFmtId="0" fontId="8" fillId="2" borderId="10" xfId="1" applyFont="1" applyBorder="1" applyAlignment="1">
      <alignment horizontal="center" vertical="center" wrapText="1"/>
    </xf>
    <xf numFmtId="0" fontId="8" fillId="2" borderId="11" xfId="1" applyFont="1" applyBorder="1" applyAlignment="1">
      <alignment horizontal="center" vertical="center" wrapText="1"/>
    </xf>
    <xf numFmtId="0" fontId="10" fillId="2" borderId="2" xfId="1" applyFont="1" applyBorder="1" applyAlignment="1">
      <alignment horizontal="left" vertical="top" wrapText="1"/>
    </xf>
    <xf numFmtId="0" fontId="10" fillId="2" borderId="8" xfId="1" applyFont="1" applyBorder="1" applyAlignment="1">
      <alignment horizontal="left" vertical="top" wrapText="1"/>
    </xf>
    <xf numFmtId="0" fontId="10" fillId="2" borderId="3" xfId="1" applyFont="1" applyBorder="1" applyAlignment="1">
      <alignment horizontal="left" vertical="top" wrapText="1"/>
    </xf>
    <xf numFmtId="0" fontId="10" fillId="2" borderId="4" xfId="1" applyFont="1" applyBorder="1" applyAlignment="1">
      <alignment horizontal="left" vertical="top" wrapText="1"/>
    </xf>
    <xf numFmtId="0" fontId="10" fillId="2" borderId="0" xfId="1" applyFont="1" applyBorder="1" applyAlignment="1">
      <alignment horizontal="left" vertical="top" wrapText="1"/>
    </xf>
    <xf numFmtId="0" fontId="10" fillId="2" borderId="5" xfId="1" applyFont="1" applyBorder="1" applyAlignment="1">
      <alignment horizontal="left" vertical="top" wrapText="1"/>
    </xf>
    <xf numFmtId="0" fontId="10" fillId="2" borderId="6" xfId="1" applyFont="1" applyBorder="1" applyAlignment="1">
      <alignment horizontal="left" vertical="top" wrapText="1"/>
    </xf>
    <xf numFmtId="0" fontId="10" fillId="2" borderId="9" xfId="1" applyFont="1" applyBorder="1" applyAlignment="1">
      <alignment horizontal="left" vertical="top" wrapText="1"/>
    </xf>
    <xf numFmtId="0" fontId="10" fillId="2" borderId="7" xfId="1" applyFont="1" applyBorder="1" applyAlignment="1">
      <alignment horizontal="left" vertical="top" wrapText="1"/>
    </xf>
    <xf numFmtId="0" fontId="14" fillId="2" borderId="14" xfId="1" applyFont="1" applyBorder="1" applyAlignment="1">
      <alignment horizontal="center" vertical="center" wrapText="1"/>
    </xf>
    <xf numFmtId="0" fontId="14" fillId="2" borderId="10" xfId="1" applyFont="1" applyBorder="1" applyAlignment="1">
      <alignment horizontal="center" vertical="center" wrapText="1"/>
    </xf>
    <xf numFmtId="0" fontId="14" fillId="2" borderId="11" xfId="1" applyFont="1" applyBorder="1" applyAlignment="1">
      <alignment horizontal="center" vertical="center" wrapText="1"/>
    </xf>
    <xf numFmtId="0" fontId="15" fillId="2" borderId="2" xfId="1" applyFont="1" applyBorder="1" applyAlignment="1">
      <alignment horizontal="left" vertical="top" wrapText="1"/>
    </xf>
    <xf numFmtId="0" fontId="15" fillId="2" borderId="8" xfId="1" applyFont="1" applyBorder="1" applyAlignment="1">
      <alignment horizontal="left" vertical="top" wrapText="1"/>
    </xf>
    <xf numFmtId="0" fontId="15" fillId="2" borderId="3" xfId="1" applyFont="1" applyBorder="1" applyAlignment="1">
      <alignment horizontal="left" vertical="top" wrapText="1"/>
    </xf>
    <xf numFmtId="0" fontId="15" fillId="2" borderId="4" xfId="1" applyFont="1" applyBorder="1" applyAlignment="1">
      <alignment horizontal="left" vertical="top" wrapText="1"/>
    </xf>
    <xf numFmtId="0" fontId="15" fillId="2" borderId="0" xfId="1" applyFont="1" applyBorder="1" applyAlignment="1">
      <alignment horizontal="left" vertical="top" wrapText="1"/>
    </xf>
    <xf numFmtId="0" fontId="15" fillId="2" borderId="5" xfId="1" applyFont="1" applyBorder="1" applyAlignment="1">
      <alignment horizontal="left" vertical="top" wrapText="1"/>
    </xf>
    <xf numFmtId="0" fontId="15" fillId="2" borderId="6" xfId="1" applyFont="1" applyBorder="1" applyAlignment="1">
      <alignment horizontal="left" vertical="top" wrapText="1"/>
    </xf>
    <xf numFmtId="0" fontId="15" fillId="2" borderId="9" xfId="1" applyFont="1" applyBorder="1" applyAlignment="1">
      <alignment horizontal="left" vertical="top" wrapText="1"/>
    </xf>
    <xf numFmtId="0" fontId="15" fillId="2" borderId="7" xfId="1" applyFont="1" applyBorder="1" applyAlignment="1">
      <alignment horizontal="left" vertical="top" wrapText="1"/>
    </xf>
    <xf numFmtId="0" fontId="10" fillId="2" borderId="15" xfId="1" applyFont="1" applyBorder="1" applyAlignment="1">
      <alignment horizontal="left" vertical="top"/>
    </xf>
    <xf numFmtId="0" fontId="10" fillId="2" borderId="1" xfId="1" applyFont="1" applyBorder="1" applyAlignment="1">
      <alignment horizontal="left" vertical="top"/>
    </xf>
    <xf numFmtId="0" fontId="11" fillId="3" borderId="12" xfId="2" applyFont="1" applyBorder="1" applyAlignment="1">
      <alignment horizontal="left" vertical="top"/>
    </xf>
    <xf numFmtId="0" fontId="11" fillId="3" borderId="1" xfId="2" applyFont="1" applyBorder="1" applyAlignment="1">
      <alignment horizontal="left" vertical="top"/>
    </xf>
    <xf numFmtId="0" fontId="3" fillId="0" borderId="6" xfId="0" applyFont="1" applyBorder="1" applyAlignment="1">
      <alignment horizontal="center" wrapText="1"/>
    </xf>
    <xf numFmtId="0" fontId="3" fillId="0" borderId="7" xfId="0" applyFont="1" applyBorder="1" applyAlignment="1">
      <alignment horizont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14" fontId="3" fillId="3" borderId="4" xfId="2" applyNumberFormat="1" applyFont="1" applyBorder="1" applyAlignment="1">
      <alignment horizontal="left"/>
    </xf>
    <xf numFmtId="14" fontId="3" fillId="3" borderId="5" xfId="2" applyNumberFormat="1" applyFont="1" applyBorder="1" applyAlignment="1">
      <alignment horizontal="left"/>
    </xf>
  </cellXfs>
  <cellStyles count="5">
    <cellStyle name="40% - Accent1" xfId="2" builtinId="31"/>
    <cellStyle name="Good" xfId="1" builtinId="26"/>
    <cellStyle name="Heading 1" xfId="4" builtinId="16"/>
    <cellStyle name="Normal" xfId="0" builtinId="0"/>
    <cellStyle name="Note" xfId="3" builtinId="10"/>
  </cellStyles>
  <dxfs count="17">
    <dxf>
      <fill>
        <patternFill patternType="lightUp">
          <bgColor rgb="FFFF9999"/>
        </patternFill>
      </fill>
    </dxf>
    <dxf>
      <fill>
        <patternFill patternType="lightUp">
          <bgColor rgb="FFFF9999"/>
        </patternFill>
      </fill>
    </dxf>
    <dxf>
      <fill>
        <patternFill patternType="lightUp">
          <bgColor rgb="FFFF9999"/>
        </patternFill>
      </fill>
    </dxf>
    <dxf>
      <fill>
        <patternFill patternType="lightUp">
          <bgColor rgb="FFFF9999"/>
        </patternFill>
      </fill>
    </dxf>
    <dxf>
      <fill>
        <patternFill patternType="lightUp">
          <bgColor rgb="FFFF9999"/>
        </patternFill>
      </fill>
    </dxf>
    <dxf>
      <fill>
        <patternFill patternType="lightUp">
          <bgColor rgb="FFFF9999"/>
        </patternFill>
      </fill>
    </dxf>
    <dxf>
      <fill>
        <patternFill patternType="lightUp">
          <bgColor rgb="FFFF9999"/>
        </patternFill>
      </fill>
    </dxf>
    <dxf>
      <fill>
        <patternFill patternType="lightUp">
          <fgColor indexed="64"/>
          <bgColor rgb="FFFF9999"/>
        </patternFill>
      </fill>
    </dxf>
    <dxf>
      <fill>
        <patternFill patternType="lightUp">
          <bgColor rgb="FFFF9999"/>
        </patternFill>
      </fill>
    </dxf>
    <dxf>
      <fill>
        <patternFill patternType="lightUp">
          <bgColor rgb="FFFF9999"/>
        </patternFill>
      </fill>
    </dxf>
    <dxf>
      <fill>
        <patternFill patternType="lightUp">
          <bgColor rgb="FFFF9999"/>
        </patternFill>
      </fill>
    </dxf>
    <dxf>
      <fill>
        <patternFill patternType="lightUp">
          <bgColor rgb="FFFF9999"/>
        </patternFill>
      </fill>
    </dxf>
    <dxf>
      <fill>
        <patternFill patternType="lightUp">
          <bgColor rgb="FFFF9999"/>
        </patternFill>
      </fill>
    </dxf>
    <dxf>
      <fill>
        <patternFill patternType="lightUp">
          <bgColor rgb="FFFF9999"/>
        </patternFill>
      </fill>
    </dxf>
    <dxf>
      <fill>
        <patternFill patternType="lightUp">
          <bgColor rgb="FFFF999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Up">
          <bgColor rgb="FFFF9999"/>
        </patternFill>
      </fill>
    </dxf>
  </dxfs>
  <tableStyles count="0" defaultTableStyle="TableStyleMedium2" defaultPivotStyle="PivotStyleLight16"/>
  <colors>
    <mruColors>
      <color rgb="FFFF9999"/>
      <color rgb="FFFF8989"/>
      <color rgb="FFFF9393"/>
      <color rgb="FFFF8181"/>
      <color rgb="FFFFA7A7"/>
      <color rgb="FFFF8585"/>
      <color rgb="FFFF3300"/>
      <color rgb="FFDB58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Vars!$N$3" lockText="1" noThreeD="1"/>
</file>

<file path=xl/ctrlProps/ctrlProp2.xml><?xml version="1.0" encoding="utf-8"?>
<formControlPr xmlns="http://schemas.microsoft.com/office/spreadsheetml/2009/9/main" objectType="CheckBox" fmlaLink="Vars!$N$4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openxmlformats.org/officeDocument/2006/relationships/image" Target="../media/image4.jp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475128</xdr:colOff>
          <xdr:row>42</xdr:row>
          <xdr:rowOff>36419</xdr:rowOff>
        </xdr:from>
        <xdr:to>
          <xdr:col>9</xdr:col>
          <xdr:colOff>734273</xdr:colOff>
          <xdr:row>49</xdr:row>
          <xdr:rowOff>183016</xdr:rowOff>
        </xdr:to>
        <xdr:pic>
          <xdr:nvPicPr>
            <xdr:cNvPr id="8" name="Picture 7">
              <a:extLst>
                <a:ext uri="{FF2B5EF4-FFF2-40B4-BE49-F238E27FC236}">
                  <a16:creationId xmlns="" xmlns:a16="http://schemas.microsoft.com/office/drawing/2014/main" id="{00000000-0008-0000-0000-000008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rawingR" spid="_x0000_s1274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1603" t="3315" r="1282" b="4529"/>
            <a:stretch>
              <a:fillRect/>
            </a:stretch>
          </xdr:blipFill>
          <xdr:spPr>
            <a:xfrm>
              <a:off x="11255187" y="9550213"/>
              <a:ext cx="2878231" cy="14954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436264</xdr:colOff>
          <xdr:row>42</xdr:row>
          <xdr:rowOff>30255</xdr:rowOff>
        </xdr:from>
        <xdr:to>
          <xdr:col>12</xdr:col>
          <xdr:colOff>820065</xdr:colOff>
          <xdr:row>50</xdr:row>
          <xdr:rowOff>257</xdr:rowOff>
        </xdr:to>
        <xdr:pic>
          <xdr:nvPicPr>
            <xdr:cNvPr id="9" name="Picture 8">
              <a:extLst>
                <a:ext uri="{FF2B5EF4-FFF2-40B4-BE49-F238E27FC236}">
                  <a16:creationId xmlns="" xmlns:a16="http://schemas.microsoft.com/office/drawing/2014/main" id="{00000000-0008-0000-0000-000009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rawingL" spid="_x0000_s1275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1337" t="3090" r="1704" b="4112"/>
            <a:stretch>
              <a:fillRect/>
            </a:stretch>
          </xdr:blipFill>
          <xdr:spPr>
            <a:xfrm>
              <a:off x="14947882" y="9544049"/>
              <a:ext cx="2871507" cy="1504951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>
    <xdr:from>
      <xdr:col>11</xdr:col>
      <xdr:colOff>628165</xdr:colOff>
      <xdr:row>42</xdr:row>
      <xdr:rowOff>30255</xdr:rowOff>
    </xdr:from>
    <xdr:to>
      <xdr:col>11</xdr:col>
      <xdr:colOff>628165</xdr:colOff>
      <xdr:row>42</xdr:row>
      <xdr:rowOff>30255</xdr:rowOff>
    </xdr:to>
    <xdr:cxnSp macro="">
      <xdr:nvCxnSpPr>
        <xdr:cNvPr id="3" name="Straight Connector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CxnSpPr>
          <a:stCxn id="9" idx="0"/>
          <a:endCxn id="9" idx="0"/>
        </xdr:cNvCxnSpPr>
      </xdr:nvCxnSpPr>
      <xdr:spPr>
        <a:xfrm>
          <a:off x="16420615" y="952668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670891</xdr:colOff>
      <xdr:row>40</xdr:row>
      <xdr:rowOff>182217</xdr:rowOff>
    </xdr:from>
    <xdr:to>
      <xdr:col>11</xdr:col>
      <xdr:colOff>670891</xdr:colOff>
      <xdr:row>43</xdr:row>
      <xdr:rowOff>95250</xdr:rowOff>
    </xdr:to>
    <xdr:cxnSp macro="">
      <xdr:nvCxnSpPr>
        <xdr:cNvPr id="7" name="Straight Connector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16445756" y="9274929"/>
          <a:ext cx="0" cy="484533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674205</xdr:colOff>
      <xdr:row>41</xdr:row>
      <xdr:rowOff>3311</xdr:rowOff>
    </xdr:from>
    <xdr:to>
      <xdr:col>8</xdr:col>
      <xdr:colOff>674205</xdr:colOff>
      <xdr:row>43</xdr:row>
      <xdr:rowOff>108311</xdr:rowOff>
    </xdr:to>
    <xdr:cxnSp macro="">
      <xdr:nvCxnSpPr>
        <xdr:cNvPr id="14" name="Straight Connector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12712340" y="9286523"/>
          <a:ext cx="0" cy="48600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939248</xdr:colOff>
      <xdr:row>47</xdr:row>
      <xdr:rowOff>91109</xdr:rowOff>
    </xdr:from>
    <xdr:to>
      <xdr:col>11</xdr:col>
      <xdr:colOff>939248</xdr:colOff>
      <xdr:row>51</xdr:row>
      <xdr:rowOff>0</xdr:rowOff>
    </xdr:to>
    <xdr:cxnSp macro="">
      <xdr:nvCxnSpPr>
        <xdr:cNvPr id="15" name="Straight Connector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CxnSpPr/>
      </xdr:nvCxnSpPr>
      <xdr:spPr>
        <a:xfrm>
          <a:off x="16767313" y="10527196"/>
          <a:ext cx="0" cy="6708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712305</xdr:colOff>
      <xdr:row>46</xdr:row>
      <xdr:rowOff>16566</xdr:rowOff>
    </xdr:from>
    <xdr:to>
      <xdr:col>8</xdr:col>
      <xdr:colOff>969066</xdr:colOff>
      <xdr:row>47</xdr:row>
      <xdr:rowOff>91109</xdr:rowOff>
    </xdr:to>
    <xdr:cxnSp macro="">
      <xdr:nvCxnSpPr>
        <xdr:cNvPr id="17" name="Straight Connector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CxnSpPr/>
      </xdr:nvCxnSpPr>
      <xdr:spPr>
        <a:xfrm>
          <a:off x="12788348" y="10253870"/>
          <a:ext cx="256761" cy="265043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967409</xdr:colOff>
      <xdr:row>47</xdr:row>
      <xdr:rowOff>94422</xdr:rowOff>
    </xdr:from>
    <xdr:to>
      <xdr:col>8</xdr:col>
      <xdr:colOff>967409</xdr:colOff>
      <xdr:row>51</xdr:row>
      <xdr:rowOff>8283</xdr:rowOff>
    </xdr:to>
    <xdr:cxnSp macro="">
      <xdr:nvCxnSpPr>
        <xdr:cNvPr id="22" name="Straight Connector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13043452" y="10530509"/>
          <a:ext cx="0" cy="67586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682487</xdr:colOff>
      <xdr:row>46</xdr:row>
      <xdr:rowOff>28161</xdr:rowOff>
    </xdr:from>
    <xdr:to>
      <xdr:col>11</xdr:col>
      <xdr:colOff>939248</xdr:colOff>
      <xdr:row>47</xdr:row>
      <xdr:rowOff>102704</xdr:rowOff>
    </xdr:to>
    <xdr:cxnSp macro="">
      <xdr:nvCxnSpPr>
        <xdr:cNvPr id="29" name="Straight Connector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16510552" y="10265465"/>
          <a:ext cx="256761" cy="265043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1285875</xdr:colOff>
          <xdr:row>18</xdr:row>
          <xdr:rowOff>161925</xdr:rowOff>
        </xdr:from>
        <xdr:to>
          <xdr:col>3</xdr:col>
          <xdr:colOff>133350</xdr:colOff>
          <xdr:row>20</xdr:row>
          <xdr:rowOff>19050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=""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1304925</xdr:colOff>
          <xdr:row>18</xdr:row>
          <xdr:rowOff>180975</xdr:rowOff>
        </xdr:from>
        <xdr:to>
          <xdr:col>5</xdr:col>
          <xdr:colOff>171450</xdr:colOff>
          <xdr:row>20</xdr:row>
          <xdr:rowOff>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=""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175663</xdr:colOff>
      <xdr:row>1</xdr:row>
      <xdr:rowOff>107898</xdr:rowOff>
    </xdr:from>
    <xdr:to>
      <xdr:col>0</xdr:col>
      <xdr:colOff>2309263</xdr:colOff>
      <xdr:row>1</xdr:row>
      <xdr:rowOff>1218458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7020"/>
        <a:stretch/>
      </xdr:blipFill>
      <xdr:spPr>
        <a:xfrm>
          <a:off x="175663" y="1441398"/>
          <a:ext cx="2133600" cy="1110560"/>
        </a:xfrm>
        <a:prstGeom prst="rect">
          <a:avLst/>
        </a:prstGeom>
      </xdr:spPr>
    </xdr:pic>
    <xdr:clientData/>
  </xdr:twoCellAnchor>
  <xdr:twoCellAnchor editAs="oneCell">
    <xdr:from>
      <xdr:col>0</xdr:col>
      <xdr:colOff>166138</xdr:colOff>
      <xdr:row>2</xdr:row>
      <xdr:rowOff>76200</xdr:rowOff>
    </xdr:from>
    <xdr:to>
      <xdr:col>0</xdr:col>
      <xdr:colOff>2318788</xdr:colOff>
      <xdr:row>2</xdr:row>
      <xdr:rowOff>1195578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138" y="2743200"/>
          <a:ext cx="2152650" cy="1119378"/>
        </a:xfrm>
        <a:prstGeom prst="rect">
          <a:avLst/>
        </a:prstGeom>
      </xdr:spPr>
    </xdr:pic>
    <xdr:clientData/>
  </xdr:twoCellAnchor>
  <xdr:twoCellAnchor editAs="oneCell">
    <xdr:from>
      <xdr:col>0</xdr:col>
      <xdr:colOff>89298</xdr:colOff>
      <xdr:row>0</xdr:row>
      <xdr:rowOff>65484</xdr:rowOff>
    </xdr:from>
    <xdr:to>
      <xdr:col>0</xdr:col>
      <xdr:colOff>2395628</xdr:colOff>
      <xdr:row>0</xdr:row>
      <xdr:rowOff>1250156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98" y="65484"/>
          <a:ext cx="2306330" cy="11846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71"/>
  <sheetViews>
    <sheetView tabSelected="1" zoomScale="70" zoomScaleNormal="70" workbookViewId="0">
      <selection activeCell="C3" sqref="C3:D3"/>
    </sheetView>
  </sheetViews>
  <sheetFormatPr defaultRowHeight="15" x14ac:dyDescent="0.25"/>
  <cols>
    <col min="1" max="1" width="21.28515625" customWidth="1"/>
    <col min="2" max="2" width="27.7109375" customWidth="1"/>
    <col min="3" max="6" width="20.5703125" customWidth="1"/>
    <col min="8" max="8" width="18.7109375" customWidth="1"/>
    <col min="9" max="9" width="20.7109375" customWidth="1"/>
    <col min="10" max="13" width="18.7109375" customWidth="1"/>
    <col min="14" max="14" width="15.7109375" customWidth="1"/>
  </cols>
  <sheetData>
    <row r="1" spans="1:15" ht="20.100000000000001" customHeight="1" x14ac:dyDescent="0.25">
      <c r="G1" s="1"/>
    </row>
    <row r="2" spans="1:15" ht="20.100000000000001" customHeight="1" x14ac:dyDescent="0.3">
      <c r="C2" s="95" t="s">
        <v>71</v>
      </c>
      <c r="D2" s="96"/>
      <c r="E2" s="96"/>
      <c r="F2" s="97"/>
      <c r="G2" s="1"/>
      <c r="H2" s="118" t="s">
        <v>91</v>
      </c>
      <c r="I2" s="121"/>
      <c r="J2" s="122"/>
      <c r="K2" s="122"/>
      <c r="L2" s="122"/>
      <c r="M2" s="122"/>
      <c r="N2" s="122"/>
      <c r="O2" s="123"/>
    </row>
    <row r="3" spans="1:15" ht="20.100000000000001" customHeight="1" x14ac:dyDescent="0.25">
      <c r="C3" s="98" t="s">
        <v>77</v>
      </c>
      <c r="D3" s="99"/>
      <c r="E3" s="98" t="s">
        <v>74</v>
      </c>
      <c r="F3" s="99"/>
      <c r="G3" s="1"/>
      <c r="H3" s="119"/>
      <c r="I3" s="124"/>
      <c r="J3" s="125"/>
      <c r="K3" s="125"/>
      <c r="L3" s="125"/>
      <c r="M3" s="125"/>
      <c r="N3" s="125"/>
      <c r="O3" s="126"/>
    </row>
    <row r="4" spans="1:15" ht="20.100000000000001" customHeight="1" x14ac:dyDescent="0.25">
      <c r="A4" s="1" t="s">
        <v>40</v>
      </c>
      <c r="C4" s="98" t="s">
        <v>76</v>
      </c>
      <c r="D4" s="99"/>
      <c r="E4" s="98" t="s">
        <v>75</v>
      </c>
      <c r="F4" s="99"/>
      <c r="G4" s="1"/>
      <c r="H4" s="120"/>
      <c r="I4" s="127"/>
      <c r="J4" s="128"/>
      <c r="K4" s="128"/>
      <c r="L4" s="128"/>
      <c r="M4" s="128"/>
      <c r="N4" s="128"/>
      <c r="O4" s="129"/>
    </row>
    <row r="5" spans="1:15" x14ac:dyDescent="0.25">
      <c r="A5" s="6"/>
      <c r="B5" s="6"/>
      <c r="G5" s="1"/>
      <c r="H5" s="1"/>
      <c r="I5" s="1"/>
      <c r="J5" s="1"/>
      <c r="K5" s="1"/>
      <c r="L5" s="1"/>
      <c r="M5" s="1"/>
    </row>
    <row r="6" spans="1:15" ht="15" customHeight="1" x14ac:dyDescent="0.25">
      <c r="A6" s="100" t="s">
        <v>73</v>
      </c>
      <c r="B6" s="103"/>
      <c r="C6" s="104"/>
      <c r="D6" s="104"/>
      <c r="E6" s="104"/>
      <c r="F6" s="105"/>
      <c r="G6" s="1"/>
      <c r="H6" s="130" t="s">
        <v>92</v>
      </c>
      <c r="I6" s="133" t="str">
        <f>CONCATENATE(C11," ",C12,": ",Vars!O3,CHAR(10),A21," - ",B21," ",C21,", ",B22," ",C22,", ",B23," ", C23,", ",B24," ",C24,", ", B25, " ",C25,". ",A27," - ",C27,". ",A30," - ",C30,". ",A33," - ",C33,". ",A36," - ",C36,". ",A39," - ",B39, " ",C39,", ",B40, " ",C40,". ",A42," - ",B42," ",C42,", ",B43," ",C43,". ",A45," - ",C45,". ",A48," - ",C48,". ",CHAR(10),CHAR(10),E11," ",E12,": ",Vars!O4,CHAR(10),A21," - ",B21," ",E21,", ",B22," ",E22,", ",B23," ", E23,", ",B24," ",E24,", ", B25, " ",E25,". ",A27," - ",E27,". ",A30," - ",E30,". ",A33," - ",E33,". ",A36," - ",E36,". ",A39," - ",B39, " ",E39,", ",B40, " ",E40,". ",A42," - ",B42," ",E42,", ",B43," ",E43,". ",A45," - ",E45,". ",A48," - ",E48,".")</f>
        <v>R eye : 
Visual acuity - Unaided , Unaided with pinhole , Aided , Aided with pinhole , Additional comments: . Refraction - . Buccal mucous membrane - . Optical cylinder - . Lamina - . Intra-ocular pressure - Digital palpation , Additional comments: . Optic disc - Vertical cup disk ratio , Additional comments: . Macula - . Imaging - . 
L eye : 
Visual acuity - Unaided , Unaided with pinhole , Aided , Aided with pinhole , Additional comments: . Refraction - . Buccal mucous membrane - . Optical cylinder - . Lamina - . Intra-ocular pressure - Digital palpation , Additional comments: . Optic disc - Vertical cup disk ratio , Additional comments: . Macula - . Imaging - .</v>
      </c>
      <c r="J6" s="134"/>
      <c r="K6" s="134"/>
      <c r="L6" s="134"/>
      <c r="M6" s="134"/>
      <c r="N6" s="134"/>
      <c r="O6" s="135"/>
    </row>
    <row r="7" spans="1:15" ht="15" customHeight="1" x14ac:dyDescent="0.25">
      <c r="A7" s="101"/>
      <c r="B7" s="106"/>
      <c r="C7" s="107"/>
      <c r="D7" s="107"/>
      <c r="E7" s="107"/>
      <c r="F7" s="108"/>
      <c r="G7" s="1"/>
      <c r="H7" s="131"/>
      <c r="I7" s="136"/>
      <c r="J7" s="137"/>
      <c r="K7" s="137"/>
      <c r="L7" s="137"/>
      <c r="M7" s="137"/>
      <c r="N7" s="137"/>
      <c r="O7" s="138"/>
    </row>
    <row r="8" spans="1:15" ht="15.75" customHeight="1" x14ac:dyDescent="0.25">
      <c r="A8" s="101"/>
      <c r="B8" s="106"/>
      <c r="C8" s="107"/>
      <c r="D8" s="107"/>
      <c r="E8" s="107"/>
      <c r="F8" s="108"/>
      <c r="G8" s="1"/>
      <c r="H8" s="131"/>
      <c r="I8" s="136"/>
      <c r="J8" s="137"/>
      <c r="K8" s="137"/>
      <c r="L8" s="137"/>
      <c r="M8" s="137"/>
      <c r="N8" s="137"/>
      <c r="O8" s="138"/>
    </row>
    <row r="9" spans="1:15" ht="15.75" customHeight="1" x14ac:dyDescent="0.25">
      <c r="A9" s="102"/>
      <c r="B9" s="109"/>
      <c r="C9" s="110"/>
      <c r="D9" s="110"/>
      <c r="E9" s="110"/>
      <c r="F9" s="111"/>
      <c r="G9" s="1"/>
      <c r="H9" s="131"/>
      <c r="I9" s="136"/>
      <c r="J9" s="137"/>
      <c r="K9" s="137"/>
      <c r="L9" s="137"/>
      <c r="M9" s="137"/>
      <c r="N9" s="137"/>
      <c r="O9" s="138"/>
    </row>
    <row r="10" spans="1:15" ht="15" customHeight="1" x14ac:dyDescent="0.25">
      <c r="G10" s="1"/>
      <c r="H10" s="131"/>
      <c r="I10" s="136"/>
      <c r="J10" s="137"/>
      <c r="K10" s="137"/>
      <c r="L10" s="137"/>
      <c r="M10" s="137"/>
      <c r="N10" s="137"/>
      <c r="O10" s="138"/>
    </row>
    <row r="11" spans="1:15" ht="15" customHeight="1" x14ac:dyDescent="0.25">
      <c r="A11" s="6"/>
      <c r="B11" s="6"/>
      <c r="C11" s="112" t="s">
        <v>43</v>
      </c>
      <c r="D11" s="113"/>
      <c r="E11" s="112" t="s">
        <v>42</v>
      </c>
      <c r="F11" s="113"/>
      <c r="G11" s="1"/>
      <c r="H11" s="131"/>
      <c r="I11" s="136"/>
      <c r="J11" s="137"/>
      <c r="K11" s="137"/>
      <c r="L11" s="137"/>
      <c r="M11" s="137"/>
      <c r="N11" s="137"/>
      <c r="O11" s="138"/>
    </row>
    <row r="12" spans="1:15" ht="15.75" customHeight="1" x14ac:dyDescent="0.25">
      <c r="A12" s="6"/>
      <c r="B12" s="7" t="s">
        <v>44</v>
      </c>
      <c r="C12" s="114"/>
      <c r="D12" s="115"/>
      <c r="E12" s="114"/>
      <c r="F12" s="115"/>
      <c r="G12" s="1"/>
      <c r="H12" s="131"/>
      <c r="I12" s="136"/>
      <c r="J12" s="137"/>
      <c r="K12" s="137"/>
      <c r="L12" s="137"/>
      <c r="M12" s="137"/>
      <c r="N12" s="137"/>
      <c r="O12" s="138"/>
    </row>
    <row r="13" spans="1:15" ht="15" customHeight="1" x14ac:dyDescent="0.25">
      <c r="A13" s="6"/>
      <c r="B13" s="8" t="s">
        <v>62</v>
      </c>
      <c r="C13" s="116"/>
      <c r="D13" s="117"/>
      <c r="E13" s="116"/>
      <c r="F13" s="117"/>
      <c r="G13" s="1"/>
      <c r="H13" s="132"/>
      <c r="I13" s="139"/>
      <c r="J13" s="140"/>
      <c r="K13" s="140"/>
      <c r="L13" s="140"/>
      <c r="M13" s="140"/>
      <c r="N13" s="140"/>
      <c r="O13" s="141"/>
    </row>
    <row r="14" spans="1:15" ht="15" customHeight="1" x14ac:dyDescent="0.25">
      <c r="A14" s="88" t="s">
        <v>17</v>
      </c>
      <c r="B14" s="22" t="s">
        <v>18</v>
      </c>
      <c r="C14" s="93"/>
      <c r="D14" s="94"/>
      <c r="E14" s="93"/>
      <c r="F14" s="94"/>
      <c r="G14" s="1"/>
    </row>
    <row r="15" spans="1:15" ht="15" customHeight="1" x14ac:dyDescent="0.25">
      <c r="A15" s="89"/>
      <c r="B15" s="14" t="s">
        <v>19</v>
      </c>
      <c r="C15" s="91"/>
      <c r="D15" s="92"/>
      <c r="E15" s="91"/>
      <c r="F15" s="92"/>
      <c r="G15" s="1"/>
      <c r="H15" s="100" t="s">
        <v>72</v>
      </c>
      <c r="I15" s="121"/>
      <c r="J15" s="122"/>
      <c r="K15" s="122"/>
      <c r="L15" s="122"/>
      <c r="M15" s="122"/>
      <c r="N15" s="122"/>
      <c r="O15" s="123"/>
    </row>
    <row r="16" spans="1:15" ht="15" customHeight="1" x14ac:dyDescent="0.25">
      <c r="A16" s="89"/>
      <c r="B16" s="14" t="s">
        <v>20</v>
      </c>
      <c r="C16" s="91"/>
      <c r="D16" s="92"/>
      <c r="E16" s="91"/>
      <c r="F16" s="92"/>
      <c r="G16" s="1"/>
      <c r="H16" s="102"/>
      <c r="I16" s="127"/>
      <c r="J16" s="128"/>
      <c r="K16" s="128"/>
      <c r="L16" s="128"/>
      <c r="M16" s="128"/>
      <c r="N16" s="128"/>
      <c r="O16" s="129"/>
    </row>
    <row r="17" spans="1:13" ht="15" customHeight="1" x14ac:dyDescent="0.25">
      <c r="A17" s="89"/>
      <c r="B17" s="14" t="s">
        <v>21</v>
      </c>
      <c r="C17" s="91"/>
      <c r="D17" s="92"/>
      <c r="E17" s="91"/>
      <c r="F17" s="92"/>
      <c r="G17" s="1"/>
    </row>
    <row r="18" spans="1:13" ht="15" customHeight="1" x14ac:dyDescent="0.25">
      <c r="A18" s="89"/>
      <c r="B18" s="14" t="s">
        <v>65</v>
      </c>
      <c r="C18" s="91"/>
      <c r="D18" s="92"/>
      <c r="E18" s="91"/>
      <c r="F18" s="92"/>
      <c r="G18" s="1"/>
      <c r="H18" s="54" t="s">
        <v>93</v>
      </c>
      <c r="I18" s="142"/>
      <c r="J18" s="143"/>
    </row>
    <row r="19" spans="1:13" ht="15" customHeight="1" x14ac:dyDescent="0.25">
      <c r="A19" s="89"/>
      <c r="B19" s="23" t="s">
        <v>59</v>
      </c>
      <c r="C19" s="91"/>
      <c r="D19" s="92"/>
      <c r="E19" s="91"/>
      <c r="F19" s="92"/>
      <c r="G19" s="1"/>
    </row>
    <row r="20" spans="1:13" ht="15.75" x14ac:dyDescent="0.25">
      <c r="A20" s="90"/>
      <c r="B20" s="33" t="s">
        <v>84</v>
      </c>
      <c r="C20" s="146"/>
      <c r="D20" s="147"/>
      <c r="E20" s="45"/>
      <c r="F20" s="44"/>
      <c r="G20" s="1"/>
      <c r="H20" s="55" t="s">
        <v>15</v>
      </c>
      <c r="I20" s="144"/>
      <c r="J20" s="145"/>
      <c r="L20" s="1"/>
      <c r="M20" s="1"/>
    </row>
    <row r="21" spans="1:13" ht="15" customHeight="1" x14ac:dyDescent="0.25">
      <c r="A21" s="88" t="s">
        <v>0</v>
      </c>
      <c r="B21" s="7" t="s">
        <v>46</v>
      </c>
      <c r="C21" s="93"/>
      <c r="D21" s="94"/>
      <c r="E21" s="93"/>
      <c r="F21" s="94"/>
      <c r="G21" s="1"/>
      <c r="H21" s="1"/>
      <c r="I21" s="1"/>
      <c r="J21" s="1"/>
      <c r="K21" s="1"/>
      <c r="L21" s="1"/>
      <c r="M21" s="1"/>
    </row>
    <row r="22" spans="1:13" ht="15" customHeight="1" x14ac:dyDescent="0.25">
      <c r="A22" s="89"/>
      <c r="B22" s="8" t="s">
        <v>60</v>
      </c>
      <c r="C22" s="91"/>
      <c r="D22" s="92"/>
      <c r="E22" s="91"/>
      <c r="F22" s="92"/>
      <c r="G22" s="1"/>
      <c r="H22" s="21" t="s">
        <v>10</v>
      </c>
      <c r="I22" s="21" t="s">
        <v>88</v>
      </c>
      <c r="J22" s="21" t="s">
        <v>13</v>
      </c>
      <c r="K22" s="46" t="s">
        <v>12</v>
      </c>
      <c r="L22" s="49" t="s">
        <v>87</v>
      </c>
      <c r="M22" s="50"/>
    </row>
    <row r="23" spans="1:13" ht="15" customHeight="1" x14ac:dyDescent="0.25">
      <c r="A23" s="89"/>
      <c r="B23" s="8" t="s">
        <v>45</v>
      </c>
      <c r="C23" s="91"/>
      <c r="D23" s="92"/>
      <c r="E23" s="91"/>
      <c r="F23" s="92"/>
      <c r="G23" s="1"/>
      <c r="H23" s="62" t="s">
        <v>2</v>
      </c>
      <c r="I23" s="57"/>
      <c r="J23" s="58"/>
      <c r="K23" s="59"/>
      <c r="L23" s="84"/>
      <c r="M23" s="85"/>
    </row>
    <row r="24" spans="1:13" ht="15" customHeight="1" x14ac:dyDescent="0.25">
      <c r="A24" s="89"/>
      <c r="B24" s="9" t="s">
        <v>61</v>
      </c>
      <c r="C24" s="91"/>
      <c r="D24" s="92"/>
      <c r="E24" s="91"/>
      <c r="F24" s="92"/>
      <c r="G24" s="1"/>
      <c r="H24" s="62" t="s">
        <v>64</v>
      </c>
      <c r="I24" s="57"/>
      <c r="J24" s="58"/>
      <c r="K24" s="59"/>
      <c r="L24" s="84"/>
      <c r="M24" s="85"/>
    </row>
    <row r="25" spans="1:13" ht="15.75" x14ac:dyDescent="0.25">
      <c r="A25" s="89"/>
      <c r="B25" s="82" t="s">
        <v>6</v>
      </c>
      <c r="C25" s="78"/>
      <c r="D25" s="79"/>
      <c r="E25" s="78"/>
      <c r="F25" s="79"/>
      <c r="G25" s="1"/>
      <c r="H25" s="62" t="s">
        <v>11</v>
      </c>
      <c r="I25" s="47"/>
      <c r="J25" s="3"/>
      <c r="K25" s="51"/>
      <c r="L25" s="151"/>
      <c r="M25" s="152"/>
    </row>
    <row r="26" spans="1:13" ht="15" customHeight="1" x14ac:dyDescent="0.25">
      <c r="A26" s="90"/>
      <c r="B26" s="83"/>
      <c r="C26" s="80"/>
      <c r="D26" s="81"/>
      <c r="E26" s="80"/>
      <c r="F26" s="81"/>
      <c r="G26" s="1"/>
      <c r="H26" s="62" t="s">
        <v>90</v>
      </c>
      <c r="I26" s="57"/>
      <c r="J26" s="58"/>
      <c r="K26" s="59"/>
      <c r="L26" s="84"/>
      <c r="M26" s="85"/>
    </row>
    <row r="27" spans="1:13" ht="15.75" x14ac:dyDescent="0.25">
      <c r="A27" s="88" t="s">
        <v>4</v>
      </c>
      <c r="B27" s="10" t="s">
        <v>63</v>
      </c>
      <c r="C27" s="76"/>
      <c r="D27" s="77"/>
      <c r="E27" s="76"/>
      <c r="F27" s="77"/>
      <c r="G27" s="1"/>
      <c r="H27" s="62" t="s">
        <v>3</v>
      </c>
      <c r="I27" s="60"/>
      <c r="J27" s="58"/>
      <c r="K27" s="61"/>
      <c r="L27" s="84"/>
      <c r="M27" s="85"/>
    </row>
    <row r="28" spans="1:13" ht="15.75" x14ac:dyDescent="0.25">
      <c r="A28" s="89"/>
      <c r="B28" s="15"/>
      <c r="C28" s="78"/>
      <c r="D28" s="79"/>
      <c r="E28" s="78"/>
      <c r="F28" s="79"/>
      <c r="G28" s="1"/>
      <c r="H28" s="63"/>
      <c r="I28" s="60"/>
      <c r="J28" s="58"/>
      <c r="K28" s="61"/>
      <c r="L28" s="84"/>
      <c r="M28" s="85"/>
    </row>
    <row r="29" spans="1:13" ht="15" customHeight="1" x14ac:dyDescent="0.25">
      <c r="A29" s="90"/>
      <c r="B29" s="16"/>
      <c r="C29" s="80"/>
      <c r="D29" s="81"/>
      <c r="E29" s="80"/>
      <c r="F29" s="81"/>
      <c r="G29" s="1"/>
      <c r="H29" s="63"/>
      <c r="I29" s="60"/>
      <c r="J29" s="58"/>
      <c r="K29" s="61"/>
      <c r="L29" s="84"/>
      <c r="M29" s="85"/>
    </row>
    <row r="30" spans="1:13" ht="15.75" x14ac:dyDescent="0.25">
      <c r="A30" s="148" t="s">
        <v>8</v>
      </c>
      <c r="B30" s="7" t="s">
        <v>63</v>
      </c>
      <c r="C30" s="76"/>
      <c r="D30" s="77"/>
      <c r="E30" s="76"/>
      <c r="F30" s="77"/>
      <c r="G30" s="1"/>
      <c r="H30" s="63"/>
      <c r="I30" s="48"/>
      <c r="J30" s="53"/>
      <c r="K30" s="52"/>
      <c r="L30" s="86"/>
      <c r="M30" s="87"/>
    </row>
    <row r="31" spans="1:13" ht="15.75" customHeight="1" x14ac:dyDescent="0.25">
      <c r="A31" s="149"/>
      <c r="B31" s="8"/>
      <c r="C31" s="78"/>
      <c r="D31" s="79"/>
      <c r="E31" s="78"/>
      <c r="F31" s="79"/>
      <c r="G31" s="1"/>
    </row>
    <row r="32" spans="1:13" ht="14.25" customHeight="1" x14ac:dyDescent="0.25">
      <c r="A32" s="150"/>
      <c r="B32" s="16"/>
      <c r="C32" s="80"/>
      <c r="D32" s="81"/>
      <c r="E32" s="80"/>
      <c r="F32" s="81"/>
      <c r="G32" s="1"/>
      <c r="H32" s="64" t="s">
        <v>89</v>
      </c>
      <c r="I32" s="67"/>
      <c r="J32" s="68"/>
      <c r="K32" s="68"/>
      <c r="L32" s="68"/>
      <c r="M32" s="69"/>
    </row>
    <row r="33" spans="1:14" ht="15.75" customHeight="1" x14ac:dyDescent="0.25">
      <c r="A33" s="148" t="s">
        <v>9</v>
      </c>
      <c r="B33" s="7" t="s">
        <v>63</v>
      </c>
      <c r="C33" s="76"/>
      <c r="D33" s="77"/>
      <c r="E33" s="76"/>
      <c r="F33" s="77"/>
      <c r="G33" s="1"/>
      <c r="H33" s="65"/>
      <c r="I33" s="70"/>
      <c r="J33" s="71"/>
      <c r="K33" s="71"/>
      <c r="L33" s="71"/>
      <c r="M33" s="72"/>
    </row>
    <row r="34" spans="1:14" ht="15.75" customHeight="1" x14ac:dyDescent="0.25">
      <c r="A34" s="149"/>
      <c r="B34" s="8"/>
      <c r="C34" s="78"/>
      <c r="D34" s="79"/>
      <c r="E34" s="78"/>
      <c r="F34" s="79"/>
      <c r="G34" s="1"/>
      <c r="H34" s="66"/>
      <c r="I34" s="73"/>
      <c r="J34" s="74"/>
      <c r="K34" s="74"/>
      <c r="L34" s="74"/>
      <c r="M34" s="75"/>
    </row>
    <row r="35" spans="1:14" ht="14.25" customHeight="1" x14ac:dyDescent="0.25">
      <c r="A35" s="150"/>
      <c r="B35" s="8"/>
      <c r="C35" s="80"/>
      <c r="D35" s="81"/>
      <c r="E35" s="80"/>
      <c r="F35" s="81"/>
      <c r="G35" s="1"/>
    </row>
    <row r="36" spans="1:14" ht="15" customHeight="1" x14ac:dyDescent="0.25">
      <c r="A36" s="88" t="s">
        <v>86</v>
      </c>
      <c r="B36" s="7" t="s">
        <v>63</v>
      </c>
      <c r="C36" s="76"/>
      <c r="D36" s="77"/>
      <c r="E36" s="76"/>
      <c r="F36" s="77"/>
      <c r="G36" s="1"/>
      <c r="H36" s="24" t="s">
        <v>80</v>
      </c>
    </row>
    <row r="37" spans="1:14" ht="15" customHeight="1" x14ac:dyDescent="0.25">
      <c r="A37" s="89"/>
      <c r="B37" s="9"/>
      <c r="C37" s="78"/>
      <c r="D37" s="79"/>
      <c r="E37" s="78"/>
      <c r="F37" s="79"/>
      <c r="G37" s="1"/>
    </row>
    <row r="38" spans="1:14" ht="15" customHeight="1" x14ac:dyDescent="0.25">
      <c r="A38" s="90"/>
      <c r="B38" s="34"/>
      <c r="C38" s="80"/>
      <c r="D38" s="81"/>
      <c r="E38" s="80"/>
      <c r="F38" s="81"/>
      <c r="G38" s="1"/>
      <c r="H38" s="39" t="s">
        <v>43</v>
      </c>
      <c r="I38" s="40"/>
      <c r="J38" s="32" t="s">
        <v>23</v>
      </c>
      <c r="K38" s="39" t="s">
        <v>42</v>
      </c>
      <c r="L38" s="40"/>
      <c r="M38" s="32" t="s">
        <v>23</v>
      </c>
    </row>
    <row r="39" spans="1:14" ht="15" customHeight="1" x14ac:dyDescent="0.25">
      <c r="A39" s="88" t="s">
        <v>5</v>
      </c>
      <c r="B39" s="7" t="s">
        <v>7</v>
      </c>
      <c r="C39" s="93"/>
      <c r="D39" s="94"/>
      <c r="E39" s="93"/>
      <c r="F39" s="94"/>
      <c r="G39" s="1"/>
      <c r="H39" s="30"/>
      <c r="I39" s="12"/>
      <c r="J39" s="31"/>
      <c r="K39" s="30"/>
      <c r="L39" s="12"/>
      <c r="M39" s="31"/>
    </row>
    <row r="40" spans="1:14" ht="15" customHeight="1" x14ac:dyDescent="0.25">
      <c r="A40" s="89"/>
      <c r="B40" s="8" t="s">
        <v>6</v>
      </c>
      <c r="C40" s="78"/>
      <c r="D40" s="79"/>
      <c r="E40" s="78"/>
      <c r="F40" s="79"/>
      <c r="G40" s="1"/>
      <c r="H40" s="76"/>
      <c r="I40" s="77"/>
      <c r="J40" s="31"/>
      <c r="K40" s="76"/>
      <c r="L40" s="77"/>
      <c r="M40" s="31"/>
    </row>
    <row r="41" spans="1:14" ht="15" customHeight="1" x14ac:dyDescent="0.25">
      <c r="A41" s="90"/>
      <c r="B41" s="15"/>
      <c r="C41" s="80"/>
      <c r="D41" s="81"/>
      <c r="E41" s="80"/>
      <c r="F41" s="81"/>
      <c r="G41" s="1"/>
      <c r="H41" s="80"/>
      <c r="I41" s="81"/>
      <c r="J41" s="28"/>
      <c r="K41" s="80"/>
      <c r="L41" s="81"/>
      <c r="M41" s="28"/>
    </row>
    <row r="42" spans="1:14" ht="15.75" customHeight="1" x14ac:dyDescent="0.25">
      <c r="A42" s="88" t="s">
        <v>95</v>
      </c>
      <c r="B42" s="10" t="s">
        <v>85</v>
      </c>
      <c r="C42" s="93"/>
      <c r="D42" s="94"/>
      <c r="E42" s="93"/>
      <c r="F42" s="94"/>
      <c r="G42" s="1"/>
      <c r="H42" s="30"/>
      <c r="I42" s="12"/>
      <c r="J42" s="28"/>
      <c r="K42" s="27"/>
      <c r="L42" s="26"/>
      <c r="M42" s="28"/>
    </row>
    <row r="43" spans="1:14" ht="15" customHeight="1" x14ac:dyDescent="0.25">
      <c r="A43" s="89"/>
      <c r="B43" s="9" t="s">
        <v>6</v>
      </c>
      <c r="C43" s="78"/>
      <c r="D43" s="79"/>
      <c r="E43" s="78"/>
      <c r="F43" s="79"/>
      <c r="G43" s="1"/>
      <c r="H43" s="41"/>
      <c r="I43" s="42"/>
      <c r="J43" s="43"/>
      <c r="K43" s="41"/>
      <c r="L43" s="42"/>
      <c r="M43" s="43"/>
      <c r="N43" s="12"/>
    </row>
    <row r="44" spans="1:14" ht="15.75" customHeight="1" x14ac:dyDescent="0.25">
      <c r="A44" s="90"/>
      <c r="B44" s="20"/>
      <c r="C44" s="80"/>
      <c r="D44" s="81"/>
      <c r="E44" s="80"/>
      <c r="F44" s="81"/>
      <c r="G44" s="1"/>
      <c r="H44" s="41"/>
      <c r="I44" s="42"/>
      <c r="J44" s="43"/>
      <c r="K44" s="41"/>
      <c r="L44" s="42"/>
      <c r="M44" s="43"/>
      <c r="N44" s="12"/>
    </row>
    <row r="45" spans="1:14" ht="15" customHeight="1" x14ac:dyDescent="0.25">
      <c r="A45" s="88" t="s">
        <v>16</v>
      </c>
      <c r="B45" s="10" t="s">
        <v>63</v>
      </c>
      <c r="C45" s="76"/>
      <c r="D45" s="77"/>
      <c r="E45" s="76"/>
      <c r="F45" s="77"/>
      <c r="G45" s="1"/>
      <c r="H45" s="41"/>
      <c r="I45" s="42"/>
      <c r="J45" s="43"/>
      <c r="K45" s="41"/>
      <c r="L45" s="42"/>
      <c r="M45" s="43"/>
      <c r="N45" s="12"/>
    </row>
    <row r="46" spans="1:14" ht="15" customHeight="1" x14ac:dyDescent="0.25">
      <c r="A46" s="89"/>
      <c r="B46" s="15"/>
      <c r="C46" s="78"/>
      <c r="D46" s="79"/>
      <c r="E46" s="78"/>
      <c r="F46" s="79"/>
      <c r="G46" s="1"/>
      <c r="H46" s="41"/>
      <c r="I46" s="42"/>
      <c r="J46" s="43"/>
      <c r="K46" s="41"/>
      <c r="L46" s="42"/>
      <c r="M46" s="43"/>
      <c r="N46" s="12"/>
    </row>
    <row r="47" spans="1:14" ht="15" customHeight="1" x14ac:dyDescent="0.25">
      <c r="A47" s="90"/>
      <c r="B47" s="15"/>
      <c r="C47" s="80"/>
      <c r="D47" s="81"/>
      <c r="E47" s="80"/>
      <c r="F47" s="81"/>
      <c r="G47" s="1"/>
      <c r="H47" s="41"/>
      <c r="I47" s="42"/>
      <c r="J47" s="43"/>
      <c r="K47" s="41"/>
      <c r="L47" s="42"/>
      <c r="M47" s="43"/>
      <c r="N47" s="12"/>
    </row>
    <row r="48" spans="1:14" ht="15" customHeight="1" x14ac:dyDescent="0.25">
      <c r="A48" s="88" t="s">
        <v>22</v>
      </c>
      <c r="B48" s="10" t="s">
        <v>63</v>
      </c>
      <c r="C48" s="76"/>
      <c r="D48" s="77"/>
      <c r="E48" s="76"/>
      <c r="F48" s="77"/>
      <c r="G48" s="1"/>
      <c r="H48" s="41"/>
      <c r="I48" s="42"/>
      <c r="J48" s="43"/>
      <c r="K48" s="41"/>
      <c r="L48" s="42"/>
      <c r="M48" s="43"/>
      <c r="N48" s="12"/>
    </row>
    <row r="49" spans="1:14" ht="15" customHeight="1" x14ac:dyDescent="0.25">
      <c r="A49" s="89"/>
      <c r="B49" s="8"/>
      <c r="C49" s="78"/>
      <c r="D49" s="79"/>
      <c r="E49" s="78"/>
      <c r="F49" s="79"/>
      <c r="G49" s="1"/>
      <c r="H49" s="41"/>
      <c r="I49" s="42"/>
      <c r="J49" s="43"/>
      <c r="K49" s="41"/>
      <c r="L49" s="42"/>
      <c r="M49" s="43"/>
      <c r="N49" s="12"/>
    </row>
    <row r="50" spans="1:14" ht="15" customHeight="1" x14ac:dyDescent="0.25">
      <c r="A50" s="89"/>
      <c r="B50" s="8"/>
      <c r="C50" s="78"/>
      <c r="D50" s="79"/>
      <c r="E50" s="78"/>
      <c r="F50" s="79"/>
      <c r="G50" s="1"/>
      <c r="H50" s="41"/>
      <c r="I50" s="42"/>
      <c r="J50" s="43"/>
      <c r="K50" s="41"/>
      <c r="L50" s="42"/>
      <c r="M50" s="43"/>
      <c r="N50" s="12"/>
    </row>
    <row r="51" spans="1:14" ht="15" customHeight="1" x14ac:dyDescent="0.25">
      <c r="A51" s="89"/>
      <c r="B51" s="8"/>
      <c r="C51" s="78"/>
      <c r="D51" s="79"/>
      <c r="E51" s="78"/>
      <c r="F51" s="79"/>
      <c r="G51" s="1"/>
      <c r="H51" s="30"/>
      <c r="I51" s="12"/>
      <c r="J51" s="31"/>
      <c r="K51" s="30"/>
      <c r="L51" s="12"/>
      <c r="M51" s="31"/>
      <c r="N51" s="12"/>
    </row>
    <row r="52" spans="1:14" ht="15" customHeight="1" x14ac:dyDescent="0.25">
      <c r="A52" s="89"/>
      <c r="B52" s="8"/>
      <c r="C52" s="78"/>
      <c r="D52" s="79"/>
      <c r="E52" s="78"/>
      <c r="F52" s="79"/>
      <c r="G52" s="1"/>
      <c r="H52" s="30"/>
      <c r="I52" s="76"/>
      <c r="J52" s="77"/>
      <c r="K52" s="30"/>
      <c r="L52" s="76"/>
      <c r="M52" s="77"/>
      <c r="N52" s="12"/>
    </row>
    <row r="53" spans="1:14" ht="15" customHeight="1" x14ac:dyDescent="0.25">
      <c r="A53" s="90"/>
      <c r="B53" s="34"/>
      <c r="C53" s="80"/>
      <c r="D53" s="81"/>
      <c r="E53" s="80"/>
      <c r="F53" s="81"/>
      <c r="G53" s="1"/>
      <c r="H53" s="29"/>
      <c r="I53" s="80"/>
      <c r="J53" s="81"/>
      <c r="K53" s="29"/>
      <c r="L53" s="80"/>
      <c r="M53" s="81"/>
      <c r="N53" s="12"/>
    </row>
    <row r="54" spans="1:14" ht="15" customHeight="1" x14ac:dyDescent="0.25">
      <c r="A54" s="38"/>
      <c r="B54" s="36"/>
      <c r="C54" s="37"/>
      <c r="D54" s="37"/>
      <c r="E54" s="37"/>
      <c r="F54" s="37"/>
      <c r="G54" s="1"/>
    </row>
    <row r="55" spans="1:14" ht="15" customHeight="1" x14ac:dyDescent="0.25">
      <c r="A55" s="35"/>
      <c r="B55" s="36"/>
      <c r="C55" s="37"/>
      <c r="D55" s="37"/>
      <c r="E55" s="37"/>
      <c r="F55" s="37"/>
      <c r="G55" s="1"/>
    </row>
    <row r="56" spans="1:14" ht="15" customHeight="1" x14ac:dyDescent="0.25">
      <c r="A56" s="35"/>
      <c r="B56" s="36"/>
      <c r="C56" s="37"/>
      <c r="D56" s="37"/>
      <c r="E56" s="37"/>
      <c r="F56" s="37"/>
      <c r="G56" s="1"/>
    </row>
    <row r="57" spans="1:14" ht="15" customHeight="1" x14ac:dyDescent="0.25">
      <c r="A57" s="35"/>
      <c r="B57" s="36"/>
      <c r="C57" s="37"/>
      <c r="D57" s="37"/>
      <c r="E57" s="37"/>
      <c r="F57" s="37"/>
      <c r="G57" s="1"/>
    </row>
    <row r="58" spans="1:14" ht="15" customHeight="1" x14ac:dyDescent="0.25">
      <c r="A58" s="12"/>
      <c r="B58" s="12"/>
      <c r="C58" s="12"/>
      <c r="D58" s="12"/>
      <c r="E58" s="12"/>
      <c r="F58" s="12"/>
      <c r="G58" s="1"/>
    </row>
    <row r="59" spans="1:14" ht="15" customHeight="1" x14ac:dyDescent="0.25">
      <c r="A59" s="12"/>
      <c r="B59" s="12"/>
      <c r="C59" s="12"/>
      <c r="D59" s="12"/>
      <c r="E59" s="12"/>
      <c r="F59" s="12"/>
      <c r="G59" s="1"/>
    </row>
    <row r="60" spans="1:14" ht="15" customHeight="1" x14ac:dyDescent="0.25">
      <c r="B60" s="12"/>
      <c r="C60" s="12"/>
      <c r="D60" s="12"/>
      <c r="E60" s="12"/>
      <c r="F60" s="12"/>
      <c r="G60" s="1"/>
    </row>
    <row r="61" spans="1:14" ht="15" customHeight="1" x14ac:dyDescent="0.25">
      <c r="B61" s="12"/>
      <c r="C61" s="12"/>
      <c r="D61" s="12"/>
      <c r="E61" s="12"/>
      <c r="F61" s="12"/>
      <c r="G61" s="1"/>
    </row>
    <row r="62" spans="1:14" ht="15" customHeight="1" x14ac:dyDescent="0.25">
      <c r="B62" s="12"/>
      <c r="C62" s="12"/>
      <c r="D62" s="12"/>
      <c r="E62" s="12"/>
      <c r="F62" s="12"/>
      <c r="G62" s="1"/>
    </row>
    <row r="63" spans="1:14" ht="15" customHeight="1" x14ac:dyDescent="0.25">
      <c r="B63" s="12"/>
      <c r="C63" s="12"/>
      <c r="D63" s="12"/>
      <c r="E63" s="12"/>
      <c r="F63" s="12"/>
      <c r="G63" s="1"/>
    </row>
    <row r="64" spans="1:14" ht="15" customHeight="1" x14ac:dyDescent="0.25">
      <c r="B64" s="12"/>
      <c r="C64" s="12"/>
      <c r="D64" s="12"/>
      <c r="E64" s="12"/>
      <c r="F64" s="12"/>
      <c r="G64" s="1"/>
    </row>
    <row r="65" spans="7:7" ht="15" customHeight="1" x14ac:dyDescent="0.25">
      <c r="G65" s="1"/>
    </row>
    <row r="66" spans="7:7" ht="15" customHeight="1" x14ac:dyDescent="0.25">
      <c r="G66" s="1"/>
    </row>
    <row r="67" spans="7:7" ht="15" customHeight="1" x14ac:dyDescent="0.25">
      <c r="G67" s="1"/>
    </row>
    <row r="68" spans="7:7" ht="15" customHeight="1" x14ac:dyDescent="0.25">
      <c r="G68" s="1"/>
    </row>
    <row r="69" spans="7:7" ht="15" customHeight="1" x14ac:dyDescent="0.25">
      <c r="G69" s="1"/>
    </row>
    <row r="70" spans="7:7" ht="15" customHeight="1" x14ac:dyDescent="0.25">
      <c r="G70" s="1"/>
    </row>
    <row r="71" spans="7:7" ht="15" customHeight="1" x14ac:dyDescent="0.25"/>
  </sheetData>
  <mergeCells count="89">
    <mergeCell ref="L23:M23"/>
    <mergeCell ref="L24:M24"/>
    <mergeCell ref="L25:M25"/>
    <mergeCell ref="L26:M26"/>
    <mergeCell ref="L27:M27"/>
    <mergeCell ref="A45:A47"/>
    <mergeCell ref="A48:A53"/>
    <mergeCell ref="A30:A32"/>
    <mergeCell ref="A33:A35"/>
    <mergeCell ref="A36:A38"/>
    <mergeCell ref="A39:A41"/>
    <mergeCell ref="A42:A44"/>
    <mergeCell ref="C48:D53"/>
    <mergeCell ref="E48:F53"/>
    <mergeCell ref="H40:I41"/>
    <mergeCell ref="I52:J53"/>
    <mergeCell ref="K40:L41"/>
    <mergeCell ref="L52:M53"/>
    <mergeCell ref="C40:D41"/>
    <mergeCell ref="E40:F41"/>
    <mergeCell ref="C42:D42"/>
    <mergeCell ref="E42:F42"/>
    <mergeCell ref="C43:D44"/>
    <mergeCell ref="E43:F44"/>
    <mergeCell ref="C36:D38"/>
    <mergeCell ref="E36:F38"/>
    <mergeCell ref="C39:D39"/>
    <mergeCell ref="E39:F39"/>
    <mergeCell ref="C45:D47"/>
    <mergeCell ref="E45:F47"/>
    <mergeCell ref="I18:J18"/>
    <mergeCell ref="I20:J20"/>
    <mergeCell ref="C25:D26"/>
    <mergeCell ref="C16:D16"/>
    <mergeCell ref="C17:D17"/>
    <mergeCell ref="C20:D20"/>
    <mergeCell ref="E16:F16"/>
    <mergeCell ref="E17:F17"/>
    <mergeCell ref="C18:D18"/>
    <mergeCell ref="H2:H4"/>
    <mergeCell ref="I2:O4"/>
    <mergeCell ref="I15:O16"/>
    <mergeCell ref="H15:H16"/>
    <mergeCell ref="H6:H13"/>
    <mergeCell ref="I6:O13"/>
    <mergeCell ref="A6:A9"/>
    <mergeCell ref="B6:F9"/>
    <mergeCell ref="E14:F14"/>
    <mergeCell ref="E15:F15"/>
    <mergeCell ref="A14:A20"/>
    <mergeCell ref="E18:F18"/>
    <mergeCell ref="C19:D19"/>
    <mergeCell ref="E19:F19"/>
    <mergeCell ref="C11:D11"/>
    <mergeCell ref="E11:F11"/>
    <mergeCell ref="C12:D12"/>
    <mergeCell ref="E12:F12"/>
    <mergeCell ref="C13:D13"/>
    <mergeCell ref="E13:F13"/>
    <mergeCell ref="C15:D15"/>
    <mergeCell ref="C2:F2"/>
    <mergeCell ref="C3:D3"/>
    <mergeCell ref="C4:D4"/>
    <mergeCell ref="E3:F3"/>
    <mergeCell ref="C14:D14"/>
    <mergeCell ref="E4:F4"/>
    <mergeCell ref="A21:A26"/>
    <mergeCell ref="A27:A29"/>
    <mergeCell ref="E24:F24"/>
    <mergeCell ref="E27:F29"/>
    <mergeCell ref="E25:F26"/>
    <mergeCell ref="E21:F21"/>
    <mergeCell ref="E22:F22"/>
    <mergeCell ref="E23:F23"/>
    <mergeCell ref="C21:D21"/>
    <mergeCell ref="C22:D22"/>
    <mergeCell ref="C23:D23"/>
    <mergeCell ref="C24:D24"/>
    <mergeCell ref="H32:H34"/>
    <mergeCell ref="I32:M34"/>
    <mergeCell ref="C30:D32"/>
    <mergeCell ref="E30:F32"/>
    <mergeCell ref="B25:B26"/>
    <mergeCell ref="C27:D29"/>
    <mergeCell ref="E33:F35"/>
    <mergeCell ref="C33:D35"/>
    <mergeCell ref="L28:M28"/>
    <mergeCell ref="L29:M29"/>
    <mergeCell ref="L30:M30"/>
  </mergeCells>
  <conditionalFormatting sqref="C48 C27 C30 C33 C36 C39:C40">
    <cfRule type="expression" dxfId="16" priority="19">
      <formula>$C$12="Non-OOKP"</formula>
    </cfRule>
  </conditionalFormatting>
  <conditionalFormatting sqref="L23:L30">
    <cfRule type="timePeriod" dxfId="15" priority="18" timePeriod="lastMonth">
      <formula>AND(MONTH(L23)=MONTH(EDATE(TODAY(),0-1)),YEAR(L23)=YEAR(EDATE(TODAY(),0-1)))</formula>
    </cfRule>
  </conditionalFormatting>
  <conditionalFormatting sqref="C13:C25 C27 C30 C33 C36 C39:C40 C42:C43 C45 C48">
    <cfRule type="expression" dxfId="14" priority="17">
      <formula>$C$12="Blind/absent"</formula>
    </cfRule>
  </conditionalFormatting>
  <conditionalFormatting sqref="E20:F20 E13:E19 E21:E25 E27 E30 E33 E36 E39:E40 E42:E43 E45 E48">
    <cfRule type="expression" dxfId="13" priority="16">
      <formula>$E$12="Blind/absent"</formula>
    </cfRule>
  </conditionalFormatting>
  <conditionalFormatting sqref="C22">
    <cfRule type="expression" dxfId="12" priority="14">
      <formula>$C$12="Blind/absent"</formula>
    </cfRule>
  </conditionalFormatting>
  <conditionalFormatting sqref="C23">
    <cfRule type="expression" dxfId="11" priority="13">
      <formula>$C$12="Blind/absent"</formula>
    </cfRule>
  </conditionalFormatting>
  <conditionalFormatting sqref="C24">
    <cfRule type="expression" dxfId="10" priority="12">
      <formula>$C$12="Blind/absent"</formula>
    </cfRule>
  </conditionalFormatting>
  <conditionalFormatting sqref="C23:C24">
    <cfRule type="expression" dxfId="9" priority="11">
      <formula>$C$13="No"</formula>
    </cfRule>
  </conditionalFormatting>
  <conditionalFormatting sqref="E23:E24">
    <cfRule type="expression" dxfId="8" priority="10">
      <formula>$E$13="No"</formula>
    </cfRule>
  </conditionalFormatting>
  <conditionalFormatting sqref="E48 E27 E30 E33 E36 E39:E40">
    <cfRule type="expression" dxfId="7" priority="8">
      <formula>$E$12="Non-OOKP"</formula>
    </cfRule>
  </conditionalFormatting>
  <conditionalFormatting sqref="C39">
    <cfRule type="expression" dxfId="6" priority="7">
      <formula>$C$12="Non-OOKP"</formula>
    </cfRule>
  </conditionalFormatting>
  <conditionalFormatting sqref="C39">
    <cfRule type="expression" dxfId="5" priority="6">
      <formula>$C$12="Blind/absent"</formula>
    </cfRule>
  </conditionalFormatting>
  <conditionalFormatting sqref="E39">
    <cfRule type="expression" dxfId="4" priority="5">
      <formula>$E$12="Blind/absent"</formula>
    </cfRule>
  </conditionalFormatting>
  <conditionalFormatting sqref="C42">
    <cfRule type="expression" dxfId="3" priority="4">
      <formula>$C$12="Blind/absent"</formula>
    </cfRule>
  </conditionalFormatting>
  <conditionalFormatting sqref="E42">
    <cfRule type="expression" dxfId="2" priority="3">
      <formula>$E$12="Blind/absent"</formula>
    </cfRule>
  </conditionalFormatting>
  <conditionalFormatting sqref="C45">
    <cfRule type="expression" dxfId="1" priority="2">
      <formula>$C$12="Blind/absent"</formula>
    </cfRule>
  </conditionalFormatting>
  <conditionalFormatting sqref="E45">
    <cfRule type="expression" dxfId="0" priority="1">
      <formula>$E$12="Blind/absent"</formula>
    </cfRule>
  </conditionalFormatting>
  <dataValidations count="5">
    <dataValidation type="list" allowBlank="1" showInputMessage="1" sqref="K23:K30">
      <formula1>"TOP,PO,SC,SL"</formula1>
    </dataValidation>
    <dataValidation type="list" allowBlank="1" showInputMessage="1" showErrorMessage="1" sqref="C12 E12">
      <formula1>"OOKP,Non-OOKP,Blind/absent"</formula1>
    </dataValidation>
    <dataValidation type="list" allowBlank="1" showInputMessage="1" showErrorMessage="1" sqref="C13 E13">
      <formula1>"Yes,No"</formula1>
    </dataValidation>
    <dataValidation type="list" allowBlank="1" showInputMessage="1" showErrorMessage="1" sqref="J38 M38">
      <formula1>"OOKP,Non_OOKP,Blind"</formula1>
    </dataValidation>
    <dataValidation type="list" allowBlank="1" showInputMessage="1" sqref="J23:J30">
      <formula1>"OD,ON,BD,TDS,QDS,PRN"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Check Box 34">
              <controlPr defaultSize="0" autoFill="0" autoLine="0" autoPict="0">
                <anchor moveWithCells="1">
                  <from>
                    <xdr:col>2</xdr:col>
                    <xdr:colOff>1285875</xdr:colOff>
                    <xdr:row>18</xdr:row>
                    <xdr:rowOff>161925</xdr:rowOff>
                  </from>
                  <to>
                    <xdr:col>3</xdr:col>
                    <xdr:colOff>133350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" name="Check Box 49">
              <controlPr defaultSize="0" autoFill="0" autoLine="0" autoPict="0">
                <anchor moveWithCells="1">
                  <from>
                    <xdr:col>4</xdr:col>
                    <xdr:colOff>1304925</xdr:colOff>
                    <xdr:row>18</xdr:row>
                    <xdr:rowOff>180975</xdr:rowOff>
                  </from>
                  <to>
                    <xdr:col>5</xdr:col>
                    <xdr:colOff>171450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Vars!$B$3:$B$4</xm:f>
          </x14:formula1>
          <xm:sqref>C14:C19 E14:E19</xm:sqref>
        </x14:dataValidation>
        <x14:dataValidation type="list" allowBlank="1" showInputMessage="1" showErrorMessage="1">
          <x14:formula1>
            <xm:f>OFFSET(Vars!$G$2,1,MATCH($E$12:$F$12,Vars!$F$2:$K$2,0)-1,COUNTA(OFFSET(Vars!$G$2,1,MATCH($E$12:$F$12,Vars!$G$2:$K$2,0)-1,5)),1)</xm:f>
          </x14:formula1>
          <xm:sqref>E39</xm:sqref>
        </x14:dataValidation>
        <x14:dataValidation type="list" allowBlank="1" showInputMessage="1" showErrorMessage="1">
          <x14:formula1>
            <xm:f>OFFSET(Vars!$G$2,1,MATCH($C$12:$D$12,Vars!$G$2:$K$2,0)-1,COUNTA(OFFSET(Vars!$G$2,1,MATCH($C$12:$D$12,Vars!$G$2:$K$2,0)-1,5)),1)</xm:f>
          </x14:formula1>
          <xm:sqref>C39</xm:sqref>
        </x14:dataValidation>
        <x14:dataValidation type="list" allowBlank="1" showInputMessage="1">
          <x14:formula1>
            <xm:f>Vars!$M$3:$M$15</xm:f>
          </x14:formula1>
          <xm:sqref>C22:C24</xm:sqref>
        </x14:dataValidation>
        <x14:dataValidation type="list" allowBlank="1" showInputMessage="1">
          <x14:formula1>
            <xm:f>Vars!$M$3:$M$15</xm:f>
          </x14:formula1>
          <xm:sqref>E21:E24</xm:sqref>
        </x14:dataValidation>
        <x14:dataValidation type="list" allowBlank="1" showInputMessage="1">
          <x14:formula1>
            <xm:f>Vars!$M$3:$M$15</xm:f>
          </x14:formula1>
          <xm:sqref>C21:D21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O15"/>
  <sheetViews>
    <sheetView workbookViewId="0">
      <selection activeCell="M15" sqref="M15"/>
    </sheetView>
  </sheetViews>
  <sheetFormatPr defaultRowHeight="15" x14ac:dyDescent="0.25"/>
  <cols>
    <col min="2" max="3" width="15.7109375" customWidth="1"/>
    <col min="4" max="4" width="12.140625" customWidth="1"/>
    <col min="5" max="5" width="15.7109375" customWidth="1"/>
    <col min="6" max="6" width="15.28515625" customWidth="1"/>
    <col min="7" max="7" width="15.42578125" customWidth="1"/>
    <col min="8" max="8" width="25.42578125" customWidth="1"/>
    <col min="9" max="9" width="10.140625" customWidth="1"/>
    <col min="10" max="10" width="15.140625" customWidth="1"/>
    <col min="13" max="13" width="13" customWidth="1"/>
    <col min="14" max="14" width="19.28515625" customWidth="1"/>
  </cols>
  <sheetData>
    <row r="1" spans="2:15" x14ac:dyDescent="0.25">
      <c r="B1" s="13" t="s">
        <v>41</v>
      </c>
    </row>
    <row r="2" spans="2:15" x14ac:dyDescent="0.25">
      <c r="B2" s="11" t="s">
        <v>23</v>
      </c>
      <c r="C2" s="11" t="s">
        <v>23</v>
      </c>
      <c r="D2" s="11" t="s">
        <v>23</v>
      </c>
      <c r="E2" s="11" t="s">
        <v>23</v>
      </c>
      <c r="F2" s="11" t="s">
        <v>23</v>
      </c>
      <c r="G2" s="11" t="s">
        <v>23</v>
      </c>
      <c r="H2" s="11" t="s">
        <v>23</v>
      </c>
      <c r="I2" s="11" t="s">
        <v>23</v>
      </c>
      <c r="J2" s="11" t="s">
        <v>23</v>
      </c>
      <c r="K2" s="5" t="s">
        <v>35</v>
      </c>
      <c r="M2" s="5" t="s">
        <v>0</v>
      </c>
      <c r="N2" s="5" t="s">
        <v>17</v>
      </c>
    </row>
    <row r="3" spans="2:15" x14ac:dyDescent="0.25">
      <c r="B3" s="1" t="s">
        <v>25</v>
      </c>
      <c r="C3" s="1" t="s">
        <v>26</v>
      </c>
      <c r="D3" s="1" t="s">
        <v>29</v>
      </c>
      <c r="E3" s="1" t="s">
        <v>30</v>
      </c>
      <c r="F3" s="1" t="s">
        <v>66</v>
      </c>
      <c r="G3" s="1" t="s">
        <v>67</v>
      </c>
      <c r="H3" s="2" t="s">
        <v>33</v>
      </c>
      <c r="I3" s="4" t="s">
        <v>69</v>
      </c>
      <c r="J3" s="4" t="s">
        <v>39</v>
      </c>
      <c r="K3" t="s">
        <v>1</v>
      </c>
      <c r="M3" s="4" t="s">
        <v>47</v>
      </c>
      <c r="N3" t="b">
        <v>0</v>
      </c>
      <c r="O3" t="str">
        <f>IF(N3=TRUE,"No to all screening questions.","")</f>
        <v/>
      </c>
    </row>
    <row r="4" spans="2:15" x14ac:dyDescent="0.25">
      <c r="B4" s="1" t="s">
        <v>78</v>
      </c>
      <c r="C4" s="1" t="s">
        <v>27</v>
      </c>
      <c r="E4" s="1" t="s">
        <v>31</v>
      </c>
      <c r="F4" s="1" t="s">
        <v>79</v>
      </c>
      <c r="G4" s="1" t="s">
        <v>24</v>
      </c>
      <c r="H4" s="2" t="s">
        <v>14</v>
      </c>
      <c r="I4" s="4" t="s">
        <v>70</v>
      </c>
      <c r="J4" s="4" t="s">
        <v>38</v>
      </c>
      <c r="K4" s="4"/>
      <c r="M4" s="4" t="s">
        <v>48</v>
      </c>
      <c r="N4" t="b">
        <v>0</v>
      </c>
      <c r="O4" t="str">
        <f>IF(N4=TRUE,"No to all screening questions.","")</f>
        <v/>
      </c>
    </row>
    <row r="5" spans="2:15" x14ac:dyDescent="0.25">
      <c r="C5" s="1" t="s">
        <v>28</v>
      </c>
      <c r="F5" s="1"/>
      <c r="G5" s="1" t="s">
        <v>36</v>
      </c>
      <c r="H5" s="2" t="s">
        <v>34</v>
      </c>
      <c r="J5" s="4" t="s">
        <v>37</v>
      </c>
      <c r="M5" s="1" t="s">
        <v>49</v>
      </c>
    </row>
    <row r="6" spans="2:15" x14ac:dyDescent="0.25">
      <c r="G6" s="1" t="s">
        <v>68</v>
      </c>
      <c r="M6" s="1" t="s">
        <v>53</v>
      </c>
    </row>
    <row r="7" spans="2:15" x14ac:dyDescent="0.25">
      <c r="G7" s="1" t="s">
        <v>32</v>
      </c>
      <c r="M7" s="17" t="s">
        <v>50</v>
      </c>
    </row>
    <row r="8" spans="2:15" x14ac:dyDescent="0.25">
      <c r="M8" s="18" t="s">
        <v>51</v>
      </c>
    </row>
    <row r="9" spans="2:15" x14ac:dyDescent="0.25">
      <c r="M9" s="18" t="s">
        <v>58</v>
      </c>
    </row>
    <row r="10" spans="2:15" x14ac:dyDescent="0.25">
      <c r="M10" s="18" t="s">
        <v>56</v>
      </c>
    </row>
    <row r="11" spans="2:15" x14ac:dyDescent="0.25">
      <c r="M11" s="18" t="s">
        <v>54</v>
      </c>
    </row>
    <row r="12" spans="2:15" x14ac:dyDescent="0.25">
      <c r="M12" s="18" t="s">
        <v>57</v>
      </c>
    </row>
    <row r="13" spans="2:15" x14ac:dyDescent="0.25">
      <c r="B13" s="5" t="s">
        <v>35</v>
      </c>
      <c r="M13" s="18" t="s">
        <v>55</v>
      </c>
    </row>
    <row r="14" spans="2:15" x14ac:dyDescent="0.25">
      <c r="B14">
        <f ca="1">COUNTA(OFFSET($C$2,1,MATCH($B$13,$C$2:$K$2,0)-1,5))</f>
        <v>1</v>
      </c>
      <c r="M14" s="56" t="s">
        <v>94</v>
      </c>
    </row>
    <row r="15" spans="2:15" x14ac:dyDescent="0.25">
      <c r="B15">
        <f ca="1">COUNTA(OFFSET(Vars!$J$2,1,MATCH(#REF!,Vars!$J$2:$K$2,0)-1,5))</f>
        <v>1</v>
      </c>
      <c r="M15" s="19" t="s">
        <v>52</v>
      </c>
    </row>
  </sheetData>
  <conditionalFormatting sqref="N4">
    <cfRule type="expression" priority="2">
      <formula>IF($N$3="TRUE",$N$4="Absent")</formula>
    </cfRule>
  </conditionalFormatting>
  <dataValidations count="1">
    <dataValidation type="list" allowBlank="1" showInputMessage="1" showErrorMessage="1" sqref="B13">
      <formula1>"OOKP,Non-OOKP"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C3"/>
  <sheetViews>
    <sheetView zoomScale="160" zoomScaleNormal="160" workbookViewId="0">
      <selection activeCell="A3" sqref="A3"/>
    </sheetView>
  </sheetViews>
  <sheetFormatPr defaultRowHeight="15" x14ac:dyDescent="0.25"/>
  <cols>
    <col min="1" max="1" width="36.5703125" customWidth="1"/>
    <col min="2" max="2" width="12" customWidth="1"/>
    <col min="3" max="3" width="10.5703125" customWidth="1"/>
  </cols>
  <sheetData>
    <row r="1" spans="2:3" ht="105" customHeight="1" x14ac:dyDescent="0.25">
      <c r="B1" s="25" t="s">
        <v>23</v>
      </c>
      <c r="C1" s="25" t="s">
        <v>23</v>
      </c>
    </row>
    <row r="2" spans="2:3" ht="105" customHeight="1" x14ac:dyDescent="0.25">
      <c r="B2" s="25" t="s">
        <v>35</v>
      </c>
      <c r="C2" s="25" t="s">
        <v>82</v>
      </c>
    </row>
    <row r="3" spans="2:3" ht="105" customHeight="1" x14ac:dyDescent="0.25">
      <c r="B3" s="25" t="s">
        <v>81</v>
      </c>
      <c r="C3" s="25" t="s">
        <v>83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Template</vt:lpstr>
      <vt:lpstr>Vars</vt:lpstr>
      <vt:lpstr>Images</vt:lpstr>
      <vt:lpstr>Blind</vt:lpstr>
      <vt:lpstr>Blind\absent</vt:lpstr>
      <vt:lpstr>Non_OOKP</vt:lpstr>
      <vt:lpstr>OOKP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Graham</dc:creator>
  <cp:lastModifiedBy>Graham</cp:lastModifiedBy>
  <dcterms:created xsi:type="dcterms:W3CDTF">2020-11-02T12:35:07Z</dcterms:created>
  <dcterms:modified xsi:type="dcterms:W3CDTF">2021-03-24T11:52:13Z</dcterms:modified>
</cp:coreProperties>
</file>